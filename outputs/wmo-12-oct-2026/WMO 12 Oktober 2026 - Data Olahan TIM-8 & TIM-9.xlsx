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gatbe/Library/Containers/com.microsoft.Excel/Data/Documents/wmo_qa/"/>
    </mc:Choice>
  </mc:AlternateContent>
  <xr:revisionPtr revIDLastSave="0" documentId="13_ncr:1_{FCDA89BB-82E3-4042-8CC8-773B1738E28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EADME" sheetId="1" r:id="rId1"/>
    <sheet name="Ex1_Freight" sheetId="2" r:id="rId2"/>
    <sheet name="Ex2_Gold_RealYield" sheetId="3" r:id="rId3"/>
    <sheet name="Ex3_AI_Chain" sheetId="4" r:id="rId4"/>
    <sheet name="Ex4_TSMC_SOX" sheetId="5" r:id="rId5"/>
    <sheet name="Ex5_Consumer" sheetId="6" r:id="rId6"/>
    <sheet name="Ex6_MXID_Valuation" sheetId="7" r:id="rId7"/>
    <sheet name="Data_SBN_UST_IDR" sheetId="8" r:id="rId8"/>
    <sheet name="Data_Brent_WTI" sheetId="9" r:id="rId9"/>
    <sheet name="Ex4b_SOX_PE_10y" sheetId="10" r:id="rId10"/>
    <sheet name="Data_Asia_Chips" sheetId="11" r:id="rId11"/>
    <sheet name="Data_JCI_LQ45" sheetId="12" r:id="rId12"/>
    <sheet name="Ex6b_Risk_Premia" sheetId="13" r:id="rId13"/>
    <sheet name="Data_ASEAN_Peer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4" l="1"/>
  <c r="F48" i="14"/>
  <c r="E48" i="14"/>
  <c r="D48" i="14"/>
  <c r="C48" i="14"/>
  <c r="B48" i="14"/>
  <c r="G267" i="13"/>
  <c r="G266" i="13"/>
  <c r="G265" i="13"/>
  <c r="G264" i="13"/>
  <c r="G263" i="13"/>
  <c r="G262" i="13"/>
  <c r="G261" i="13"/>
  <c r="G260" i="13"/>
  <c r="G259" i="13"/>
  <c r="G258" i="13"/>
  <c r="G257" i="13"/>
  <c r="G256" i="13"/>
  <c r="G255" i="13"/>
  <c r="G254" i="13"/>
  <c r="G253" i="13"/>
  <c r="G252" i="13"/>
  <c r="G251" i="13"/>
  <c r="G250" i="13"/>
  <c r="G249" i="13"/>
  <c r="G248" i="13"/>
  <c r="G247" i="13"/>
  <c r="G246" i="13"/>
  <c r="G245" i="13"/>
  <c r="G244" i="13"/>
  <c r="G243" i="13"/>
  <c r="G242" i="13"/>
  <c r="G241" i="13"/>
  <c r="G240" i="13"/>
  <c r="G239" i="13"/>
  <c r="G238" i="13"/>
  <c r="G237" i="13"/>
  <c r="G236" i="13"/>
  <c r="G235" i="13"/>
  <c r="G234" i="13"/>
  <c r="G233" i="13"/>
  <c r="G232" i="13"/>
  <c r="G231" i="13"/>
  <c r="G230" i="13"/>
  <c r="G229" i="13"/>
  <c r="G228" i="13"/>
  <c r="G227" i="13"/>
  <c r="G226" i="13"/>
  <c r="G225" i="13"/>
  <c r="G224" i="13"/>
  <c r="G223" i="13"/>
  <c r="G222" i="13"/>
  <c r="G221" i="13"/>
  <c r="G220" i="13"/>
  <c r="G219" i="13"/>
  <c r="G218" i="13"/>
  <c r="G217" i="13"/>
  <c r="G216" i="13"/>
  <c r="G215" i="13"/>
  <c r="G214" i="13"/>
  <c r="G213" i="13"/>
  <c r="G212" i="13"/>
  <c r="G211" i="13"/>
  <c r="G210" i="13"/>
  <c r="G209" i="13"/>
  <c r="G208" i="13"/>
  <c r="G207" i="13"/>
  <c r="G206" i="13"/>
  <c r="G205" i="13"/>
  <c r="G204" i="13"/>
  <c r="G203" i="13"/>
  <c r="G202" i="13"/>
  <c r="G201" i="13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J16" i="13"/>
  <c r="G16" i="13"/>
  <c r="J15" i="13"/>
  <c r="G15" i="13"/>
  <c r="G14" i="13"/>
  <c r="G13" i="13"/>
  <c r="G12" i="13"/>
  <c r="J11" i="13"/>
  <c r="G11" i="13"/>
  <c r="J10" i="13"/>
  <c r="G430" i="13" s="1"/>
  <c r="G10" i="13"/>
  <c r="J9" i="13"/>
  <c r="G9" i="13"/>
  <c r="J8" i="13"/>
  <c r="G8" i="13"/>
  <c r="J7" i="13"/>
  <c r="G7" i="13"/>
  <c r="J6" i="13"/>
  <c r="G6" i="13"/>
  <c r="F10" i="12"/>
  <c r="F9" i="12"/>
  <c r="F6" i="12"/>
  <c r="F5" i="12"/>
  <c r="G10" i="11"/>
  <c r="G9" i="11"/>
  <c r="G8" i="11"/>
  <c r="G7" i="11"/>
  <c r="G6" i="11"/>
  <c r="G5" i="11"/>
  <c r="E13" i="10"/>
  <c r="E12" i="10"/>
  <c r="E10" i="10"/>
  <c r="E9" i="10"/>
  <c r="E7" i="10"/>
  <c r="E6" i="10"/>
  <c r="E5" i="10"/>
  <c r="F9" i="9"/>
  <c r="F8" i="9"/>
  <c r="F7" i="9"/>
  <c r="F6" i="9"/>
  <c r="F5" i="9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H13" i="8"/>
  <c r="D13" i="8"/>
  <c r="H12" i="8"/>
  <c r="D12" i="8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G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G488" i="7"/>
  <c r="M487" i="7"/>
  <c r="M486" i="7"/>
  <c r="M485" i="7"/>
  <c r="M484" i="7"/>
  <c r="M483" i="7"/>
  <c r="G483" i="7"/>
  <c r="M482" i="7"/>
  <c r="M481" i="7"/>
  <c r="M480" i="7"/>
  <c r="M479" i="7"/>
  <c r="M478" i="7"/>
  <c r="M477" i="7"/>
  <c r="M476" i="7"/>
  <c r="M475" i="7"/>
  <c r="M474" i="7"/>
  <c r="M473" i="7"/>
  <c r="M472" i="7"/>
  <c r="G472" i="7"/>
  <c r="M471" i="7"/>
  <c r="M470" i="7"/>
  <c r="M469" i="7"/>
  <c r="M468" i="7"/>
  <c r="M467" i="7"/>
  <c r="G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G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G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G397" i="7"/>
  <c r="M396" i="7"/>
  <c r="M395" i="7"/>
  <c r="M394" i="7"/>
  <c r="M393" i="7"/>
  <c r="G393" i="7"/>
  <c r="M392" i="7"/>
  <c r="M391" i="7"/>
  <c r="M390" i="7"/>
  <c r="M389" i="7"/>
  <c r="M388" i="7"/>
  <c r="M387" i="7"/>
  <c r="G387" i="7"/>
  <c r="M386" i="7"/>
  <c r="M385" i="7"/>
  <c r="M384" i="7"/>
  <c r="M383" i="7"/>
  <c r="G383" i="7"/>
  <c r="M382" i="7"/>
  <c r="M381" i="7"/>
  <c r="M380" i="7"/>
  <c r="M379" i="7"/>
  <c r="G379" i="7"/>
  <c r="M378" i="7"/>
  <c r="M377" i="7"/>
  <c r="M376" i="7"/>
  <c r="M375" i="7"/>
  <c r="M374" i="7"/>
  <c r="M373" i="7"/>
  <c r="M372" i="7"/>
  <c r="M371" i="7"/>
  <c r="M370" i="7"/>
  <c r="G370" i="7"/>
  <c r="M369" i="7"/>
  <c r="M368" i="7"/>
  <c r="M367" i="7"/>
  <c r="M366" i="7"/>
  <c r="M365" i="7"/>
  <c r="M364" i="7"/>
  <c r="M363" i="7"/>
  <c r="G363" i="7"/>
  <c r="M362" i="7"/>
  <c r="M361" i="7"/>
  <c r="M360" i="7"/>
  <c r="M359" i="7"/>
  <c r="G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G343" i="7"/>
  <c r="M342" i="7"/>
  <c r="M341" i="7"/>
  <c r="M340" i="7"/>
  <c r="G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G327" i="7"/>
  <c r="M326" i="7"/>
  <c r="M325" i="7"/>
  <c r="M324" i="7"/>
  <c r="G324" i="7"/>
  <c r="M323" i="7"/>
  <c r="M322" i="7"/>
  <c r="M321" i="7"/>
  <c r="M320" i="7"/>
  <c r="M319" i="7"/>
  <c r="G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G300" i="7"/>
  <c r="M299" i="7"/>
  <c r="M298" i="7"/>
  <c r="M297" i="7"/>
  <c r="G297" i="7"/>
  <c r="M296" i="7"/>
  <c r="M295" i="7"/>
  <c r="M294" i="7"/>
  <c r="M293" i="7"/>
  <c r="G293" i="7"/>
  <c r="M292" i="7"/>
  <c r="M291" i="7"/>
  <c r="M290" i="7"/>
  <c r="M289" i="7"/>
  <c r="M288" i="7"/>
  <c r="M287" i="7"/>
  <c r="M286" i="7"/>
  <c r="M285" i="7"/>
  <c r="M284" i="7"/>
  <c r="M283" i="7"/>
  <c r="M282" i="7"/>
  <c r="G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G261" i="7"/>
  <c r="M260" i="7"/>
  <c r="G260" i="7"/>
  <c r="M259" i="7"/>
  <c r="M258" i="7"/>
  <c r="G258" i="7"/>
  <c r="M257" i="7"/>
  <c r="M256" i="7"/>
  <c r="M255" i="7"/>
  <c r="M254" i="7"/>
  <c r="M253" i="7"/>
  <c r="G253" i="7"/>
  <c r="M252" i="7"/>
  <c r="M251" i="7"/>
  <c r="M250" i="7"/>
  <c r="M249" i="7"/>
  <c r="G249" i="7"/>
  <c r="M248" i="7"/>
  <c r="M247" i="7"/>
  <c r="M246" i="7"/>
  <c r="M245" i="7"/>
  <c r="M244" i="7"/>
  <c r="M243" i="7"/>
  <c r="M242" i="7"/>
  <c r="M241" i="7"/>
  <c r="G241" i="7"/>
  <c r="M240" i="7"/>
  <c r="M239" i="7"/>
  <c r="M238" i="7"/>
  <c r="M237" i="7"/>
  <c r="M236" i="7"/>
  <c r="G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G219" i="7"/>
  <c r="M218" i="7"/>
  <c r="M217" i="7"/>
  <c r="M216" i="7"/>
  <c r="M215" i="7"/>
  <c r="M214" i="7"/>
  <c r="M213" i="7"/>
  <c r="M212" i="7"/>
  <c r="M211" i="7"/>
  <c r="G211" i="7"/>
  <c r="M210" i="7"/>
  <c r="M209" i="7"/>
  <c r="M208" i="7"/>
  <c r="M207" i="7"/>
  <c r="M206" i="7"/>
  <c r="M205" i="7"/>
  <c r="M204" i="7"/>
  <c r="M203" i="7"/>
  <c r="M202" i="7"/>
  <c r="G202" i="7"/>
  <c r="M201" i="7"/>
  <c r="M200" i="7"/>
  <c r="M199" i="7"/>
  <c r="M198" i="7"/>
  <c r="M197" i="7"/>
  <c r="G197" i="7"/>
  <c r="M196" i="7"/>
  <c r="M195" i="7"/>
  <c r="M194" i="7"/>
  <c r="M193" i="7"/>
  <c r="G193" i="7"/>
  <c r="M192" i="7"/>
  <c r="M191" i="7"/>
  <c r="M190" i="7"/>
  <c r="M189" i="7"/>
  <c r="G189" i="7"/>
  <c r="M188" i="7"/>
  <c r="M187" i="7"/>
  <c r="M186" i="7"/>
  <c r="M185" i="7"/>
  <c r="M184" i="7"/>
  <c r="G184" i="7"/>
  <c r="M183" i="7"/>
  <c r="M182" i="7"/>
  <c r="M181" i="7"/>
  <c r="M180" i="7"/>
  <c r="G180" i="7"/>
  <c r="M179" i="7"/>
  <c r="M178" i="7"/>
  <c r="M177" i="7"/>
  <c r="M176" i="7"/>
  <c r="G176" i="7"/>
  <c r="M175" i="7"/>
  <c r="G175" i="7"/>
  <c r="M174" i="7"/>
  <c r="M173" i="7"/>
  <c r="M172" i="7"/>
  <c r="M171" i="7"/>
  <c r="G171" i="7"/>
  <c r="M170" i="7"/>
  <c r="M169" i="7"/>
  <c r="M168" i="7"/>
  <c r="M167" i="7"/>
  <c r="G167" i="7"/>
  <c r="M166" i="7"/>
  <c r="M165" i="7"/>
  <c r="M164" i="7"/>
  <c r="M163" i="7"/>
  <c r="M162" i="7"/>
  <c r="M161" i="7"/>
  <c r="M160" i="7"/>
  <c r="M159" i="7"/>
  <c r="G159" i="7"/>
  <c r="M158" i="7"/>
  <c r="M157" i="7"/>
  <c r="M156" i="7"/>
  <c r="M155" i="7"/>
  <c r="M154" i="7"/>
  <c r="M153" i="7"/>
  <c r="M152" i="7"/>
  <c r="M151" i="7"/>
  <c r="G151" i="7"/>
  <c r="M150" i="7"/>
  <c r="M149" i="7"/>
  <c r="M148" i="7"/>
  <c r="M147" i="7"/>
  <c r="M146" i="7"/>
  <c r="M145" i="7"/>
  <c r="M144" i="7"/>
  <c r="M143" i="7"/>
  <c r="G143" i="7"/>
  <c r="M142" i="7"/>
  <c r="M141" i="7"/>
  <c r="M140" i="7"/>
  <c r="M139" i="7"/>
  <c r="M138" i="7"/>
  <c r="M137" i="7"/>
  <c r="M136" i="7"/>
  <c r="M135" i="7"/>
  <c r="G135" i="7"/>
  <c r="M134" i="7"/>
  <c r="M133" i="7"/>
  <c r="M132" i="7"/>
  <c r="M131" i="7"/>
  <c r="M130" i="7"/>
  <c r="M129" i="7"/>
  <c r="M128" i="7"/>
  <c r="M127" i="7"/>
  <c r="G127" i="7"/>
  <c r="M126" i="7"/>
  <c r="M125" i="7"/>
  <c r="M124" i="7"/>
  <c r="M123" i="7"/>
  <c r="M122" i="7"/>
  <c r="I122" i="7"/>
  <c r="M121" i="7"/>
  <c r="M120" i="7"/>
  <c r="I120" i="7"/>
  <c r="M119" i="7"/>
  <c r="G119" i="7"/>
  <c r="M118" i="7"/>
  <c r="H118" i="7"/>
  <c r="M117" i="7"/>
  <c r="M116" i="7"/>
  <c r="M115" i="7"/>
  <c r="M114" i="7"/>
  <c r="I114" i="7"/>
  <c r="M113" i="7"/>
  <c r="M112" i="7"/>
  <c r="I112" i="7"/>
  <c r="M111" i="7"/>
  <c r="G111" i="7"/>
  <c r="M110" i="7"/>
  <c r="H110" i="7"/>
  <c r="M109" i="7"/>
  <c r="M108" i="7"/>
  <c r="M107" i="7"/>
  <c r="M106" i="7"/>
  <c r="I106" i="7"/>
  <c r="M105" i="7"/>
  <c r="M104" i="7"/>
  <c r="I104" i="7"/>
  <c r="M103" i="7"/>
  <c r="G103" i="7"/>
  <c r="M102" i="7"/>
  <c r="H102" i="7"/>
  <c r="M101" i="7"/>
  <c r="M100" i="7"/>
  <c r="M99" i="7"/>
  <c r="M98" i="7"/>
  <c r="I98" i="7"/>
  <c r="M97" i="7"/>
  <c r="M96" i="7"/>
  <c r="I96" i="7"/>
  <c r="M95" i="7"/>
  <c r="G95" i="7"/>
  <c r="M94" i="7"/>
  <c r="H94" i="7"/>
  <c r="M93" i="7"/>
  <c r="M92" i="7"/>
  <c r="G92" i="7"/>
  <c r="M91" i="7"/>
  <c r="G91" i="7"/>
  <c r="M90" i="7"/>
  <c r="K90" i="7"/>
  <c r="M89" i="7"/>
  <c r="H89" i="7"/>
  <c r="M88" i="7"/>
  <c r="G88" i="7"/>
  <c r="M87" i="7"/>
  <c r="G87" i="7"/>
  <c r="M86" i="7"/>
  <c r="I86" i="7"/>
  <c r="M85" i="7"/>
  <c r="G85" i="7"/>
  <c r="M84" i="7"/>
  <c r="M83" i="7"/>
  <c r="J83" i="7"/>
  <c r="M82" i="7"/>
  <c r="M81" i="7"/>
  <c r="L81" i="7"/>
  <c r="M80" i="7"/>
  <c r="J80" i="7"/>
  <c r="M79" i="7"/>
  <c r="H79" i="7"/>
  <c r="M78" i="7"/>
  <c r="G78" i="7"/>
  <c r="M77" i="7"/>
  <c r="L77" i="7"/>
  <c r="M76" i="7"/>
  <c r="H76" i="7"/>
  <c r="W75" i="7"/>
  <c r="M75" i="7"/>
  <c r="G75" i="7"/>
  <c r="M74" i="7"/>
  <c r="W73" i="7"/>
  <c r="W76" i="7" s="1"/>
  <c r="M73" i="7"/>
  <c r="K73" i="7"/>
  <c r="W72" i="7"/>
  <c r="M72" i="7"/>
  <c r="G72" i="7"/>
  <c r="W71" i="7"/>
  <c r="M71" i="7"/>
  <c r="G71" i="7"/>
  <c r="W70" i="7"/>
  <c r="M70" i="7"/>
  <c r="W69" i="7"/>
  <c r="M69" i="7"/>
  <c r="K69" i="7"/>
  <c r="W68" i="7"/>
  <c r="M68" i="7"/>
  <c r="G68" i="7"/>
  <c r="W67" i="7"/>
  <c r="M67" i="7"/>
  <c r="G67" i="7"/>
  <c r="W66" i="7"/>
  <c r="M66" i="7"/>
  <c r="W65" i="7"/>
  <c r="M65" i="7"/>
  <c r="K65" i="7"/>
  <c r="W64" i="7"/>
  <c r="M64" i="7"/>
  <c r="G64" i="7"/>
  <c r="W63" i="7"/>
  <c r="M63" i="7"/>
  <c r="G63" i="7"/>
  <c r="W62" i="7"/>
  <c r="M62" i="7"/>
  <c r="W61" i="7"/>
  <c r="M61" i="7"/>
  <c r="K61" i="7"/>
  <c r="W60" i="7"/>
  <c r="M60" i="7"/>
  <c r="G60" i="7"/>
  <c r="W59" i="7"/>
  <c r="M59" i="7"/>
  <c r="G59" i="7"/>
  <c r="W58" i="7"/>
  <c r="M58" i="7"/>
  <c r="W57" i="7"/>
  <c r="M57" i="7"/>
  <c r="L57" i="7"/>
  <c r="K57" i="7"/>
  <c r="W56" i="7"/>
  <c r="M56" i="7"/>
  <c r="H56" i="7"/>
  <c r="G56" i="7"/>
  <c r="W55" i="7"/>
  <c r="M55" i="7"/>
  <c r="G55" i="7"/>
  <c r="W54" i="7"/>
  <c r="M54" i="7"/>
  <c r="W53" i="7"/>
  <c r="M53" i="7"/>
  <c r="L53" i="7"/>
  <c r="K53" i="7"/>
  <c r="W52" i="7"/>
  <c r="M52" i="7"/>
  <c r="H52" i="7"/>
  <c r="G52" i="7"/>
  <c r="W51" i="7"/>
  <c r="M51" i="7"/>
  <c r="G51" i="7"/>
  <c r="W50" i="7"/>
  <c r="M50" i="7"/>
  <c r="W49" i="7"/>
  <c r="M49" i="7"/>
  <c r="L49" i="7"/>
  <c r="K49" i="7"/>
  <c r="W48" i="7"/>
  <c r="M48" i="7"/>
  <c r="H48" i="7"/>
  <c r="G48" i="7"/>
  <c r="W47" i="7"/>
  <c r="M47" i="7"/>
  <c r="G47" i="7"/>
  <c r="W46" i="7"/>
  <c r="M46" i="7"/>
  <c r="W45" i="7"/>
  <c r="M45" i="7"/>
  <c r="L45" i="7"/>
  <c r="K45" i="7"/>
  <c r="W44" i="7"/>
  <c r="M44" i="7"/>
  <c r="H44" i="7"/>
  <c r="G44" i="7"/>
  <c r="W43" i="7"/>
  <c r="M43" i="7"/>
  <c r="G43" i="7"/>
  <c r="W42" i="7"/>
  <c r="M42" i="7"/>
  <c r="W41" i="7"/>
  <c r="M41" i="7"/>
  <c r="L41" i="7"/>
  <c r="K41" i="7"/>
  <c r="W40" i="7"/>
  <c r="M40" i="7"/>
  <c r="H40" i="7"/>
  <c r="G40" i="7"/>
  <c r="W39" i="7"/>
  <c r="M39" i="7"/>
  <c r="H39" i="7"/>
  <c r="G39" i="7"/>
  <c r="W38" i="7"/>
  <c r="M38" i="7"/>
  <c r="W37" i="7"/>
  <c r="M37" i="7"/>
  <c r="L37" i="7"/>
  <c r="K37" i="7"/>
  <c r="W36" i="7"/>
  <c r="M36" i="7"/>
  <c r="L36" i="7"/>
  <c r="H36" i="7"/>
  <c r="G36" i="7"/>
  <c r="W35" i="7"/>
  <c r="M35" i="7"/>
  <c r="H35" i="7"/>
  <c r="G35" i="7"/>
  <c r="W34" i="7"/>
  <c r="M34" i="7"/>
  <c r="W33" i="7"/>
  <c r="M33" i="7"/>
  <c r="L33" i="7"/>
  <c r="K33" i="7"/>
  <c r="W32" i="7"/>
  <c r="M32" i="7"/>
  <c r="L32" i="7"/>
  <c r="H32" i="7"/>
  <c r="G32" i="7"/>
  <c r="W31" i="7"/>
  <c r="M31" i="7"/>
  <c r="H31" i="7"/>
  <c r="G31" i="7"/>
  <c r="W30" i="7"/>
  <c r="M30" i="7"/>
  <c r="W29" i="7"/>
  <c r="M29" i="7"/>
  <c r="L29" i="7"/>
  <c r="K29" i="7"/>
  <c r="W28" i="7"/>
  <c r="M28" i="7"/>
  <c r="L28" i="7"/>
  <c r="H28" i="7"/>
  <c r="G28" i="7"/>
  <c r="W27" i="7"/>
  <c r="M27" i="7"/>
  <c r="H27" i="7"/>
  <c r="G27" i="7"/>
  <c r="W26" i="7"/>
  <c r="M26" i="7"/>
  <c r="W25" i="7"/>
  <c r="M25" i="7"/>
  <c r="L25" i="7"/>
  <c r="K25" i="7"/>
  <c r="W24" i="7"/>
  <c r="M24" i="7"/>
  <c r="L24" i="7"/>
  <c r="H24" i="7"/>
  <c r="G24" i="7"/>
  <c r="W23" i="7"/>
  <c r="M23" i="7"/>
  <c r="H23" i="7"/>
  <c r="G23" i="7"/>
  <c r="W22" i="7"/>
  <c r="M22" i="7"/>
  <c r="W21" i="7"/>
  <c r="M21" i="7"/>
  <c r="L21" i="7"/>
  <c r="K21" i="7"/>
  <c r="W20" i="7"/>
  <c r="M20" i="7"/>
  <c r="L20" i="7"/>
  <c r="H20" i="7"/>
  <c r="G20" i="7"/>
  <c r="W19" i="7"/>
  <c r="M19" i="7"/>
  <c r="H19" i="7"/>
  <c r="G19" i="7"/>
  <c r="W18" i="7"/>
  <c r="M18" i="7"/>
  <c r="W17" i="7"/>
  <c r="R17" i="7"/>
  <c r="M17" i="7"/>
  <c r="L17" i="7"/>
  <c r="G17" i="7"/>
  <c r="W16" i="7"/>
  <c r="R16" i="7"/>
  <c r="M16" i="7"/>
  <c r="J16" i="7"/>
  <c r="I16" i="7"/>
  <c r="W15" i="7"/>
  <c r="R15" i="7"/>
  <c r="M15" i="7"/>
  <c r="J15" i="7"/>
  <c r="I15" i="7"/>
  <c r="W14" i="7"/>
  <c r="R14" i="7"/>
  <c r="M14" i="7"/>
  <c r="K14" i="7"/>
  <c r="J14" i="7"/>
  <c r="G14" i="7"/>
  <c r="W13" i="7"/>
  <c r="M13" i="7"/>
  <c r="L13" i="7"/>
  <c r="K13" i="7"/>
  <c r="W12" i="7"/>
  <c r="R12" i="7"/>
  <c r="M12" i="7"/>
  <c r="L12" i="7"/>
  <c r="G12" i="7"/>
  <c r="W11" i="7"/>
  <c r="R11" i="7"/>
  <c r="M11" i="7"/>
  <c r="H11" i="7"/>
  <c r="G11" i="7"/>
  <c r="W10" i="7"/>
  <c r="R10" i="7"/>
  <c r="M10" i="7"/>
  <c r="I10" i="7"/>
  <c r="G10" i="7"/>
  <c r="W9" i="7"/>
  <c r="M9" i="7"/>
  <c r="J9" i="7"/>
  <c r="H9" i="7"/>
  <c r="G9" i="7"/>
  <c r="W8" i="7"/>
  <c r="R8" i="7"/>
  <c r="M8" i="7"/>
  <c r="K8" i="7"/>
  <c r="I8" i="7"/>
  <c r="H8" i="7"/>
  <c r="G8" i="7"/>
  <c r="W7" i="7"/>
  <c r="R7" i="7"/>
  <c r="L38" i="7" s="1"/>
  <c r="M7" i="7"/>
  <c r="L7" i="7"/>
  <c r="J7" i="7"/>
  <c r="I7" i="7"/>
  <c r="W6" i="7"/>
  <c r="R6" i="7"/>
  <c r="M6" i="7"/>
  <c r="R13" i="7" s="1"/>
  <c r="K6" i="7"/>
  <c r="J6" i="7"/>
  <c r="G6" i="7"/>
  <c r="N29" i="6"/>
  <c r="E25" i="6"/>
  <c r="N8" i="6" s="1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N11" i="6"/>
  <c r="E11" i="6"/>
  <c r="N10" i="6"/>
  <c r="E10" i="6"/>
  <c r="N9" i="6"/>
  <c r="E9" i="6"/>
  <c r="E8" i="6"/>
  <c r="N7" i="6"/>
  <c r="E7" i="6"/>
  <c r="N6" i="6"/>
  <c r="E6" i="6"/>
  <c r="N5" i="6"/>
  <c r="E5" i="6"/>
  <c r="H255" i="5"/>
  <c r="H254" i="5"/>
  <c r="H253" i="5"/>
  <c r="H252" i="5"/>
  <c r="H251" i="5"/>
  <c r="K18" i="5" s="1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B29" i="5"/>
  <c r="H28" i="5"/>
  <c r="B28" i="5"/>
  <c r="H27" i="5"/>
  <c r="H26" i="5"/>
  <c r="C26" i="5"/>
  <c r="H25" i="5"/>
  <c r="C25" i="5"/>
  <c r="H24" i="5"/>
  <c r="C24" i="5"/>
  <c r="H23" i="5"/>
  <c r="C23" i="5"/>
  <c r="H22" i="5"/>
  <c r="C22" i="5"/>
  <c r="H21" i="5"/>
  <c r="C21" i="5"/>
  <c r="K20" i="5"/>
  <c r="H20" i="5"/>
  <c r="C20" i="5"/>
  <c r="K19" i="5"/>
  <c r="K21" i="5" s="1"/>
  <c r="H19" i="5"/>
  <c r="C19" i="5"/>
  <c r="H18" i="5"/>
  <c r="C18" i="5"/>
  <c r="K17" i="5"/>
  <c r="H17" i="5"/>
  <c r="K16" i="5"/>
  <c r="H16" i="5"/>
  <c r="K15" i="5"/>
  <c r="H15" i="5"/>
  <c r="K14" i="5"/>
  <c r="H14" i="5"/>
  <c r="K13" i="5"/>
  <c r="H13" i="5"/>
  <c r="K12" i="5"/>
  <c r="H12" i="5"/>
  <c r="K11" i="5"/>
  <c r="H11" i="5"/>
  <c r="H10" i="5"/>
  <c r="K9" i="5"/>
  <c r="K10" i="5" s="1"/>
  <c r="H9" i="5"/>
  <c r="K8" i="5"/>
  <c r="H8" i="5"/>
  <c r="K7" i="5"/>
  <c r="H7" i="5"/>
  <c r="K6" i="5"/>
  <c r="H6" i="5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K11" i="4"/>
  <c r="J11" i="4"/>
  <c r="G11" i="4"/>
  <c r="F11" i="4"/>
  <c r="K10" i="4"/>
  <c r="J10" i="4"/>
  <c r="G10" i="4"/>
  <c r="F10" i="4"/>
  <c r="K9" i="4"/>
  <c r="J9" i="4"/>
  <c r="G9" i="4"/>
  <c r="F9" i="4"/>
  <c r="K8" i="4"/>
  <c r="J8" i="4"/>
  <c r="G8" i="4"/>
  <c r="F8" i="4"/>
  <c r="K7" i="4"/>
  <c r="J7" i="4"/>
  <c r="G7" i="4"/>
  <c r="F7" i="4"/>
  <c r="K6" i="4"/>
  <c r="J6" i="4"/>
  <c r="G6" i="4"/>
  <c r="F6" i="4"/>
  <c r="K5" i="4"/>
  <c r="J5" i="4"/>
  <c r="G5" i="4"/>
  <c r="F5" i="4"/>
  <c r="E207" i="3"/>
  <c r="H20" i="3" s="1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H18" i="3"/>
  <c r="E18" i="3"/>
  <c r="H17" i="3"/>
  <c r="H19" i="3" s="1"/>
  <c r="E17" i="3"/>
  <c r="E16" i="3"/>
  <c r="H15" i="3"/>
  <c r="H16" i="3" s="1"/>
  <c r="E15" i="3"/>
  <c r="H14" i="3"/>
  <c r="E14" i="3"/>
  <c r="H13" i="3"/>
  <c r="E13" i="3"/>
  <c r="H12" i="3"/>
  <c r="E12" i="3"/>
  <c r="E11" i="3"/>
  <c r="H10" i="3"/>
  <c r="E10" i="3"/>
  <c r="H9" i="3"/>
  <c r="H11" i="3" s="1"/>
  <c r="E9" i="3"/>
  <c r="E8" i="3"/>
  <c r="H7" i="3"/>
  <c r="H8" i="3" s="1"/>
  <c r="E7" i="3"/>
  <c r="H6" i="3"/>
  <c r="E6" i="3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G22" i="2"/>
  <c r="C22" i="2"/>
  <c r="C21" i="2"/>
  <c r="G20" i="2"/>
  <c r="C20" i="2"/>
  <c r="C19" i="2"/>
  <c r="G18" i="2"/>
  <c r="C18" i="2"/>
  <c r="G17" i="2"/>
  <c r="G23" i="2" s="1"/>
  <c r="C17" i="2"/>
  <c r="C16" i="2"/>
  <c r="C15" i="2"/>
  <c r="K14" i="2"/>
  <c r="L14" i="2" s="1"/>
  <c r="C14" i="2"/>
  <c r="K13" i="2"/>
  <c r="L13" i="2" s="1"/>
  <c r="C13" i="2"/>
  <c r="L12" i="2"/>
  <c r="K12" i="2"/>
  <c r="C12" i="2"/>
  <c r="L11" i="2"/>
  <c r="K11" i="2"/>
  <c r="C11" i="2"/>
  <c r="K10" i="2"/>
  <c r="L10" i="2" s="1"/>
  <c r="C10" i="2"/>
  <c r="C9" i="2"/>
  <c r="K8" i="2"/>
  <c r="L8" i="2" s="1"/>
  <c r="C8" i="2"/>
  <c r="K7" i="2"/>
  <c r="L7" i="2" s="1"/>
  <c r="C7" i="2"/>
  <c r="L6" i="2"/>
  <c r="K6" i="2"/>
  <c r="C6" i="2"/>
  <c r="H126" i="7" l="1"/>
  <c r="I128" i="7"/>
  <c r="I130" i="7"/>
  <c r="H134" i="7"/>
  <c r="I136" i="7"/>
  <c r="I138" i="7"/>
  <c r="H142" i="7"/>
  <c r="I144" i="7"/>
  <c r="I146" i="7"/>
  <c r="H150" i="7"/>
  <c r="I152" i="7"/>
  <c r="I154" i="7"/>
  <c r="H158" i="7"/>
  <c r="I160" i="7"/>
  <c r="I162" i="7"/>
  <c r="I166" i="7"/>
  <c r="K168" i="7"/>
  <c r="L172" i="7"/>
  <c r="I177" i="7"/>
  <c r="J181" i="7"/>
  <c r="H188" i="7"/>
  <c r="J190" i="7"/>
  <c r="J199" i="7"/>
  <c r="L205" i="7"/>
  <c r="H208" i="7"/>
  <c r="K215" i="7"/>
  <c r="H221" i="7"/>
  <c r="L223" i="7"/>
  <c r="I229" i="7"/>
  <c r="J232" i="7"/>
  <c r="K237" i="7"/>
  <c r="L240" i="7"/>
  <c r="I246" i="7"/>
  <c r="J254" i="7"/>
  <c r="K257" i="7"/>
  <c r="L262" i="7"/>
  <c r="L272" i="7"/>
  <c r="J285" i="7"/>
  <c r="I288" i="7"/>
  <c r="H292" i="7"/>
  <c r="I307" i="7"/>
  <c r="J314" i="7"/>
  <c r="H322" i="7"/>
  <c r="L326" i="7"/>
  <c r="J330" i="7"/>
  <c r="L334" i="7"/>
  <c r="I338" i="7"/>
  <c r="I346" i="7"/>
  <c r="H354" i="7"/>
  <c r="K372" i="7"/>
  <c r="K395" i="7"/>
  <c r="L399" i="7"/>
  <c r="L409" i="7"/>
  <c r="L413" i="7"/>
  <c r="L450" i="7"/>
  <c r="J455" i="7"/>
  <c r="K460" i="7"/>
  <c r="H493" i="7"/>
  <c r="J514" i="7"/>
  <c r="I527" i="7"/>
  <c r="F8" i="12"/>
  <c r="F7" i="12"/>
  <c r="F522" i="13"/>
  <c r="F514" i="13"/>
  <c r="F506" i="13"/>
  <c r="F498" i="13"/>
  <c r="F490" i="13"/>
  <c r="F482" i="13"/>
  <c r="F474" i="13"/>
  <c r="F466" i="13"/>
  <c r="F458" i="13"/>
  <c r="F450" i="13"/>
  <c r="F442" i="13"/>
  <c r="F434" i="13"/>
  <c r="F426" i="13"/>
  <c r="F418" i="13"/>
  <c r="F410" i="13"/>
  <c r="F402" i="13"/>
  <c r="F394" i="13"/>
  <c r="F386" i="13"/>
  <c r="F378" i="13"/>
  <c r="F370" i="13"/>
  <c r="F362" i="13"/>
  <c r="F354" i="13"/>
  <c r="F346" i="13"/>
  <c r="F338" i="13"/>
  <c r="F330" i="13"/>
  <c r="F322" i="13"/>
  <c r="F314" i="13"/>
  <c r="F306" i="13"/>
  <c r="F527" i="13"/>
  <c r="J13" i="13" s="1"/>
  <c r="F519" i="13"/>
  <c r="F511" i="13"/>
  <c r="F503" i="13"/>
  <c r="F495" i="13"/>
  <c r="F487" i="13"/>
  <c r="F479" i="13"/>
  <c r="F471" i="13"/>
  <c r="F463" i="13"/>
  <c r="F455" i="13"/>
  <c r="F447" i="13"/>
  <c r="F439" i="13"/>
  <c r="F431" i="13"/>
  <c r="F423" i="13"/>
  <c r="F415" i="13"/>
  <c r="F407" i="13"/>
  <c r="F399" i="13"/>
  <c r="F391" i="13"/>
  <c r="F383" i="13"/>
  <c r="F375" i="13"/>
  <c r="F367" i="13"/>
  <c r="F359" i="13"/>
  <c r="F351" i="13"/>
  <c r="F343" i="13"/>
  <c r="F335" i="13"/>
  <c r="F327" i="13"/>
  <c r="F319" i="13"/>
  <c r="F311" i="13"/>
  <c r="F303" i="13"/>
  <c r="F526" i="13"/>
  <c r="F512" i="13"/>
  <c r="F508" i="13"/>
  <c r="F494" i="13"/>
  <c r="F480" i="13"/>
  <c r="F476" i="13"/>
  <c r="F462" i="13"/>
  <c r="F448" i="13"/>
  <c r="F444" i="13"/>
  <c r="F430" i="13"/>
  <c r="F416" i="13"/>
  <c r="F412" i="13"/>
  <c r="F398" i="13"/>
  <c r="F384" i="13"/>
  <c r="F380" i="13"/>
  <c r="F366" i="13"/>
  <c r="F352" i="13"/>
  <c r="F348" i="13"/>
  <c r="F334" i="13"/>
  <c r="F320" i="13"/>
  <c r="F316" i="13"/>
  <c r="F302" i="13"/>
  <c r="F294" i="13"/>
  <c r="F286" i="13"/>
  <c r="F278" i="13"/>
  <c r="F270" i="13"/>
  <c r="F262" i="13"/>
  <c r="F254" i="13"/>
  <c r="F246" i="13"/>
  <c r="F238" i="13"/>
  <c r="F515" i="13"/>
  <c r="F501" i="13"/>
  <c r="F497" i="13"/>
  <c r="F483" i="13"/>
  <c r="F469" i="13"/>
  <c r="F465" i="13"/>
  <c r="F451" i="13"/>
  <c r="F437" i="13"/>
  <c r="F433" i="13"/>
  <c r="F419" i="13"/>
  <c r="F405" i="13"/>
  <c r="F401" i="13"/>
  <c r="F387" i="13"/>
  <c r="F373" i="13"/>
  <c r="F369" i="13"/>
  <c r="F355" i="13"/>
  <c r="F341" i="13"/>
  <c r="F337" i="13"/>
  <c r="F323" i="13"/>
  <c r="F309" i="13"/>
  <c r="F305" i="13"/>
  <c r="F299" i="13"/>
  <c r="F518" i="13"/>
  <c r="F504" i="13"/>
  <c r="F500" i="13"/>
  <c r="F486" i="13"/>
  <c r="F472" i="13"/>
  <c r="F468" i="13"/>
  <c r="F454" i="13"/>
  <c r="F440" i="13"/>
  <c r="F436" i="13"/>
  <c r="F422" i="13"/>
  <c r="F408" i="13"/>
  <c r="F404" i="13"/>
  <c r="F390" i="13"/>
  <c r="F376" i="13"/>
  <c r="F372" i="13"/>
  <c r="F358" i="13"/>
  <c r="F344" i="13"/>
  <c r="F340" i="13"/>
  <c r="F326" i="13"/>
  <c r="F312" i="13"/>
  <c r="F308" i="13"/>
  <c r="F296" i="13"/>
  <c r="F517" i="13"/>
  <c r="F513" i="13"/>
  <c r="F499" i="13"/>
  <c r="F485" i="13"/>
  <c r="F481" i="13"/>
  <c r="F467" i="13"/>
  <c r="F453" i="13"/>
  <c r="F449" i="13"/>
  <c r="F435" i="13"/>
  <c r="F421" i="13"/>
  <c r="F417" i="13"/>
  <c r="F403" i="13"/>
  <c r="F389" i="13"/>
  <c r="F385" i="13"/>
  <c r="F371" i="13"/>
  <c r="F357" i="13"/>
  <c r="F353" i="13"/>
  <c r="F339" i="13"/>
  <c r="F325" i="13"/>
  <c r="F321" i="13"/>
  <c r="F307" i="13"/>
  <c r="F525" i="13"/>
  <c r="F489" i="13"/>
  <c r="F475" i="13"/>
  <c r="F461" i="13"/>
  <c r="F425" i="13"/>
  <c r="F411" i="13"/>
  <c r="F397" i="13"/>
  <c r="F361" i="13"/>
  <c r="F347" i="13"/>
  <c r="F333" i="13"/>
  <c r="F291" i="13"/>
  <c r="F288" i="13"/>
  <c r="F285" i="13"/>
  <c r="F282" i="13"/>
  <c r="F279" i="13"/>
  <c r="F276" i="13"/>
  <c r="F273" i="13"/>
  <c r="F267" i="13"/>
  <c r="F264" i="13"/>
  <c r="F261" i="13"/>
  <c r="F241" i="13"/>
  <c r="F235" i="13"/>
  <c r="F232" i="13"/>
  <c r="F224" i="13"/>
  <c r="F216" i="13"/>
  <c r="F208" i="13"/>
  <c r="F200" i="13"/>
  <c r="F192" i="13"/>
  <c r="F184" i="13"/>
  <c r="F176" i="13"/>
  <c r="F168" i="13"/>
  <c r="F160" i="13"/>
  <c r="F152" i="13"/>
  <c r="F144" i="13"/>
  <c r="F136" i="13"/>
  <c r="F128" i="13"/>
  <c r="F120" i="13"/>
  <c r="F112" i="13"/>
  <c r="F104" i="13"/>
  <c r="F96" i="13"/>
  <c r="F88" i="13"/>
  <c r="F80" i="13"/>
  <c r="F72" i="13"/>
  <c r="F64" i="13"/>
  <c r="F56" i="13"/>
  <c r="F48" i="13"/>
  <c r="F524" i="13"/>
  <c r="F510" i="13"/>
  <c r="F496" i="13"/>
  <c r="F460" i="13"/>
  <c r="F446" i="13"/>
  <c r="F432" i="13"/>
  <c r="F396" i="13"/>
  <c r="F382" i="13"/>
  <c r="F368" i="13"/>
  <c r="F332" i="13"/>
  <c r="F318" i="13"/>
  <c r="F304" i="13"/>
  <c r="F298" i="13"/>
  <c r="F258" i="13"/>
  <c r="F255" i="13"/>
  <c r="F252" i="13"/>
  <c r="F229" i="13"/>
  <c r="F221" i="13"/>
  <c r="F213" i="13"/>
  <c r="F205" i="13"/>
  <c r="F197" i="13"/>
  <c r="F189" i="13"/>
  <c r="F181" i="13"/>
  <c r="F173" i="13"/>
  <c r="F165" i="13"/>
  <c r="F157" i="13"/>
  <c r="F149" i="13"/>
  <c r="F141" i="13"/>
  <c r="F133" i="13"/>
  <c r="F125" i="13"/>
  <c r="F117" i="13"/>
  <c r="F109" i="13"/>
  <c r="F101" i="13"/>
  <c r="F93" i="13"/>
  <c r="F516" i="13"/>
  <c r="F502" i="13"/>
  <c r="F488" i="13"/>
  <c r="F452" i="13"/>
  <c r="F438" i="13"/>
  <c r="F424" i="13"/>
  <c r="F388" i="13"/>
  <c r="F374" i="13"/>
  <c r="F360" i="13"/>
  <c r="F324" i="13"/>
  <c r="F310" i="13"/>
  <c r="F275" i="13"/>
  <c r="F272" i="13"/>
  <c r="F269" i="13"/>
  <c r="F249" i="13"/>
  <c r="F243" i="13"/>
  <c r="F240" i="13"/>
  <c r="F237" i="13"/>
  <c r="F226" i="13"/>
  <c r="F218" i="13"/>
  <c r="F210" i="13"/>
  <c r="F202" i="13"/>
  <c r="F194" i="13"/>
  <c r="F186" i="13"/>
  <c r="F178" i="13"/>
  <c r="F170" i="13"/>
  <c r="F162" i="13"/>
  <c r="F154" i="13"/>
  <c r="F146" i="13"/>
  <c r="F138" i="13"/>
  <c r="F130" i="13"/>
  <c r="F122" i="13"/>
  <c r="F114" i="13"/>
  <c r="F106" i="13"/>
  <c r="F98" i="13"/>
  <c r="F523" i="13"/>
  <c r="F492" i="13"/>
  <c r="F478" i="13"/>
  <c r="F464" i="13"/>
  <c r="F428" i="13"/>
  <c r="F414" i="13"/>
  <c r="F400" i="13"/>
  <c r="F364" i="13"/>
  <c r="F350" i="13"/>
  <c r="F336" i="13"/>
  <c r="F283" i="13"/>
  <c r="F280" i="13"/>
  <c r="F277" i="13"/>
  <c r="F274" i="13"/>
  <c r="F271" i="13"/>
  <c r="F268" i="13"/>
  <c r="F242" i="13"/>
  <c r="F239" i="13"/>
  <c r="F236" i="13"/>
  <c r="F225" i="13"/>
  <c r="F217" i="13"/>
  <c r="F209" i="13"/>
  <c r="F201" i="13"/>
  <c r="F193" i="13"/>
  <c r="F185" i="13"/>
  <c r="F177" i="13"/>
  <c r="F169" i="13"/>
  <c r="F161" i="13"/>
  <c r="F153" i="13"/>
  <c r="F145" i="13"/>
  <c r="F521" i="13"/>
  <c r="F507" i="13"/>
  <c r="F493" i="13"/>
  <c r="F393" i="13"/>
  <c r="F379" i="13"/>
  <c r="F365" i="13"/>
  <c r="F266" i="13"/>
  <c r="F126" i="13"/>
  <c r="F108" i="13"/>
  <c r="F94" i="13"/>
  <c r="F76" i="13"/>
  <c r="F73" i="13"/>
  <c r="F70" i="13"/>
  <c r="F44" i="13"/>
  <c r="F41" i="13"/>
  <c r="F33" i="13"/>
  <c r="F25" i="13"/>
  <c r="F17" i="13"/>
  <c r="F15" i="13"/>
  <c r="F13" i="13"/>
  <c r="F11" i="13"/>
  <c r="F9" i="13"/>
  <c r="F7" i="13"/>
  <c r="F520" i="13"/>
  <c r="F420" i="13"/>
  <c r="F406" i="13"/>
  <c r="F392" i="13"/>
  <c r="F295" i="13"/>
  <c r="F289" i="13"/>
  <c r="F250" i="13"/>
  <c r="F245" i="13"/>
  <c r="F228" i="13"/>
  <c r="F220" i="13"/>
  <c r="F212" i="13"/>
  <c r="F204" i="13"/>
  <c r="F196" i="13"/>
  <c r="F188" i="13"/>
  <c r="F180" i="13"/>
  <c r="F172" i="13"/>
  <c r="F164" i="13"/>
  <c r="F156" i="13"/>
  <c r="F148" i="13"/>
  <c r="F140" i="13"/>
  <c r="F129" i="13"/>
  <c r="F115" i="13"/>
  <c r="F111" i="13"/>
  <c r="F97" i="13"/>
  <c r="F90" i="13"/>
  <c r="F87" i="13"/>
  <c r="F67" i="13"/>
  <c r="F61" i="13"/>
  <c r="F58" i="13"/>
  <c r="F55" i="13"/>
  <c r="F38" i="13"/>
  <c r="F30" i="13"/>
  <c r="F22" i="13"/>
  <c r="F505" i="13"/>
  <c r="F491" i="13"/>
  <c r="F477" i="13"/>
  <c r="F377" i="13"/>
  <c r="F363" i="13"/>
  <c r="F349" i="13"/>
  <c r="F231" i="13"/>
  <c r="F223" i="13"/>
  <c r="F215" i="13"/>
  <c r="F207" i="13"/>
  <c r="F199" i="13"/>
  <c r="F191" i="13"/>
  <c r="F183" i="13"/>
  <c r="F175" i="13"/>
  <c r="F167" i="13"/>
  <c r="F159" i="13"/>
  <c r="F151" i="13"/>
  <c r="F143" i="13"/>
  <c r="F132" i="13"/>
  <c r="F118" i="13"/>
  <c r="F100" i="13"/>
  <c r="F84" i="13"/>
  <c r="F81" i="13"/>
  <c r="F78" i="13"/>
  <c r="F52" i="13"/>
  <c r="F49" i="13"/>
  <c r="F46" i="13"/>
  <c r="F35" i="13"/>
  <c r="F27" i="13"/>
  <c r="F19" i="13"/>
  <c r="F473" i="13"/>
  <c r="F459" i="13"/>
  <c r="F445" i="13"/>
  <c r="F345" i="13"/>
  <c r="F331" i="13"/>
  <c r="F317" i="13"/>
  <c r="F293" i="13"/>
  <c r="F287" i="13"/>
  <c r="F281" i="13"/>
  <c r="F265" i="13"/>
  <c r="F257" i="13"/>
  <c r="F253" i="13"/>
  <c r="F244" i="13"/>
  <c r="F227" i="13"/>
  <c r="F219" i="13"/>
  <c r="F211" i="13"/>
  <c r="F203" i="13"/>
  <c r="F195" i="13"/>
  <c r="F187" i="13"/>
  <c r="F179" i="13"/>
  <c r="F171" i="13"/>
  <c r="F163" i="13"/>
  <c r="F155" i="13"/>
  <c r="F147" i="13"/>
  <c r="F139" i="13"/>
  <c r="F135" i="13"/>
  <c r="F121" i="13"/>
  <c r="F107" i="13"/>
  <c r="F103" i="13"/>
  <c r="F75" i="13"/>
  <c r="F69" i="13"/>
  <c r="F66" i="13"/>
  <c r="F63" i="13"/>
  <c r="F43" i="13"/>
  <c r="F40" i="13"/>
  <c r="F32" i="13"/>
  <c r="F24" i="13"/>
  <c r="F457" i="13"/>
  <c r="F443" i="13"/>
  <c r="F429" i="13"/>
  <c r="F329" i="13"/>
  <c r="F315" i="13"/>
  <c r="F301" i="13"/>
  <c r="F260" i="13"/>
  <c r="F248" i="13"/>
  <c r="F234" i="13"/>
  <c r="F124" i="13"/>
  <c r="F110" i="13"/>
  <c r="F92" i="13"/>
  <c r="F89" i="13"/>
  <c r="F86" i="13"/>
  <c r="F60" i="13"/>
  <c r="F57" i="13"/>
  <c r="F54" i="13"/>
  <c r="F37" i="13"/>
  <c r="F29" i="13"/>
  <c r="F21" i="13"/>
  <c r="F16" i="13"/>
  <c r="F14" i="13"/>
  <c r="F12" i="13"/>
  <c r="F10" i="13"/>
  <c r="F8" i="13"/>
  <c r="F6" i="13"/>
  <c r="F484" i="13"/>
  <c r="F470" i="13"/>
  <c r="F456" i="13"/>
  <c r="F356" i="13"/>
  <c r="F342" i="13"/>
  <c r="F328" i="13"/>
  <c r="F300" i="13"/>
  <c r="F292" i="13"/>
  <c r="F256" i="13"/>
  <c r="F230" i="13"/>
  <c r="F222" i="13"/>
  <c r="F214" i="13"/>
  <c r="F206" i="13"/>
  <c r="F198" i="13"/>
  <c r="F190" i="13"/>
  <c r="F182" i="13"/>
  <c r="F174" i="13"/>
  <c r="F166" i="13"/>
  <c r="F158" i="13"/>
  <c r="F150" i="13"/>
  <c r="F142" i="13"/>
  <c r="F131" i="13"/>
  <c r="F127" i="13"/>
  <c r="F113" i="13"/>
  <c r="F99" i="13"/>
  <c r="F95" i="13"/>
  <c r="F83" i="13"/>
  <c r="F77" i="13"/>
  <c r="F74" i="13"/>
  <c r="F71" i="13"/>
  <c r="F51" i="13"/>
  <c r="F45" i="13"/>
  <c r="F42" i="13"/>
  <c r="F34" i="13"/>
  <c r="F26" i="13"/>
  <c r="F18" i="13"/>
  <c r="F441" i="13"/>
  <c r="F427" i="13"/>
  <c r="F413" i="13"/>
  <c r="F313" i="13"/>
  <c r="F263" i="13"/>
  <c r="F247" i="13"/>
  <c r="F134" i="13"/>
  <c r="F116" i="13"/>
  <c r="F102" i="13"/>
  <c r="F68" i="13"/>
  <c r="F65" i="13"/>
  <c r="F62" i="13"/>
  <c r="F39" i="13"/>
  <c r="F31" i="13"/>
  <c r="F23" i="13"/>
  <c r="F509" i="13"/>
  <c r="F409" i="13"/>
  <c r="F395" i="13"/>
  <c r="F381" i="13"/>
  <c r="F297" i="13"/>
  <c r="F290" i="13"/>
  <c r="F284" i="13"/>
  <c r="F259" i="13"/>
  <c r="F251" i="13"/>
  <c r="F233" i="13"/>
  <c r="F137" i="13"/>
  <c r="F123" i="13"/>
  <c r="F119" i="13"/>
  <c r="F105" i="13"/>
  <c r="F91" i="13"/>
  <c r="F85" i="13"/>
  <c r="F82" i="13"/>
  <c r="F79" i="13"/>
  <c r="F59" i="13"/>
  <c r="F53" i="13"/>
  <c r="F50" i="13"/>
  <c r="F47" i="13"/>
  <c r="F36" i="13"/>
  <c r="F28" i="13"/>
  <c r="F20" i="13"/>
  <c r="H60" i="7"/>
  <c r="L61" i="7"/>
  <c r="H64" i="7"/>
  <c r="L65" i="7"/>
  <c r="H68" i="7"/>
  <c r="L69" i="7"/>
  <c r="H72" i="7"/>
  <c r="L73" i="7"/>
  <c r="I76" i="7"/>
  <c r="I79" i="7"/>
  <c r="K80" i="7"/>
  <c r="K83" i="7"/>
  <c r="J86" i="7"/>
  <c r="I89" i="7"/>
  <c r="L90" i="7"/>
  <c r="K92" i="7"/>
  <c r="J96" i="7"/>
  <c r="J98" i="7"/>
  <c r="K100" i="7"/>
  <c r="J104" i="7"/>
  <c r="J106" i="7"/>
  <c r="K108" i="7"/>
  <c r="J112" i="7"/>
  <c r="J114" i="7"/>
  <c r="K116" i="7"/>
  <c r="J120" i="7"/>
  <c r="J122" i="7"/>
  <c r="K124" i="7"/>
  <c r="J128" i="7"/>
  <c r="J130" i="7"/>
  <c r="K132" i="7"/>
  <c r="J136" i="7"/>
  <c r="J138" i="7"/>
  <c r="K140" i="7"/>
  <c r="J144" i="7"/>
  <c r="J146" i="7"/>
  <c r="K148" i="7"/>
  <c r="J152" i="7"/>
  <c r="J154" i="7"/>
  <c r="K156" i="7"/>
  <c r="J160" i="7"/>
  <c r="J162" i="7"/>
  <c r="K164" i="7"/>
  <c r="L168" i="7"/>
  <c r="H171" i="7"/>
  <c r="I175" i="7"/>
  <c r="K177" i="7"/>
  <c r="K181" i="7"/>
  <c r="I186" i="7"/>
  <c r="K190" i="7"/>
  <c r="I195" i="7"/>
  <c r="L197" i="7"/>
  <c r="K199" i="7"/>
  <c r="I204" i="7"/>
  <c r="J208" i="7"/>
  <c r="K213" i="7"/>
  <c r="L215" i="7"/>
  <c r="H227" i="7"/>
  <c r="J229" i="7"/>
  <c r="K232" i="7"/>
  <c r="H244" i="7"/>
  <c r="K249" i="7"/>
  <c r="J252" i="7"/>
  <c r="K254" i="7"/>
  <c r="L257" i="7"/>
  <c r="J266" i="7"/>
  <c r="I276" i="7"/>
  <c r="K279" i="7"/>
  <c r="H282" i="7"/>
  <c r="K285" i="7"/>
  <c r="H304" i="7"/>
  <c r="J307" i="7"/>
  <c r="K311" i="7"/>
  <c r="J346" i="7"/>
  <c r="L354" i="7"/>
  <c r="K363" i="7"/>
  <c r="L382" i="7"/>
  <c r="H424" i="7"/>
  <c r="H440" i="7"/>
  <c r="K455" i="7"/>
  <c r="I471" i="7"/>
  <c r="H477" i="7"/>
  <c r="L527" i="7"/>
  <c r="R9" i="7" s="1"/>
  <c r="L6" i="7"/>
  <c r="K7" i="7"/>
  <c r="J8" i="7"/>
  <c r="I9" i="7"/>
  <c r="H10" i="7"/>
  <c r="L14" i="7"/>
  <c r="K15" i="7"/>
  <c r="K20" i="7"/>
  <c r="K24" i="7"/>
  <c r="K28" i="7"/>
  <c r="K32" i="7"/>
  <c r="K36" i="7"/>
  <c r="K40" i="7"/>
  <c r="K44" i="7"/>
  <c r="K48" i="7"/>
  <c r="K52" i="7"/>
  <c r="K56" i="7"/>
  <c r="K60" i="7"/>
  <c r="K64" i="7"/>
  <c r="K68" i="7"/>
  <c r="K72" i="7"/>
  <c r="H75" i="7"/>
  <c r="L76" i="7"/>
  <c r="J79" i="7"/>
  <c r="L80" i="7"/>
  <c r="I82" i="7"/>
  <c r="L83" i="7"/>
  <c r="H85" i="7"/>
  <c r="H88" i="7"/>
  <c r="J89" i="7"/>
  <c r="L92" i="7"/>
  <c r="K98" i="7"/>
  <c r="L100" i="7"/>
  <c r="K106" i="7"/>
  <c r="L108" i="7"/>
  <c r="K114" i="7"/>
  <c r="L116" i="7"/>
  <c r="K122" i="7"/>
  <c r="L124" i="7"/>
  <c r="K130" i="7"/>
  <c r="L132" i="7"/>
  <c r="K138" i="7"/>
  <c r="L140" i="7"/>
  <c r="K146" i="7"/>
  <c r="L148" i="7"/>
  <c r="K154" i="7"/>
  <c r="L156" i="7"/>
  <c r="K162" i="7"/>
  <c r="L164" i="7"/>
  <c r="I171" i="7"/>
  <c r="J173" i="7"/>
  <c r="L177" i="7"/>
  <c r="H180" i="7"/>
  <c r="H184" i="7"/>
  <c r="J186" i="7"/>
  <c r="H193" i="7"/>
  <c r="J195" i="7"/>
  <c r="H202" i="7"/>
  <c r="J204" i="7"/>
  <c r="L206" i="7"/>
  <c r="K208" i="7"/>
  <c r="H211" i="7"/>
  <c r="H219" i="7"/>
  <c r="H222" i="7"/>
  <c r="J224" i="7"/>
  <c r="I227" i="7"/>
  <c r="L232" i="7"/>
  <c r="L238" i="7"/>
  <c r="I244" i="7"/>
  <c r="I247" i="7"/>
  <c r="L249" i="7"/>
  <c r="K263" i="7"/>
  <c r="K266" i="7"/>
  <c r="H270" i="7"/>
  <c r="J276" i="7"/>
  <c r="L285" i="7"/>
  <c r="K289" i="7"/>
  <c r="K304" i="7"/>
  <c r="L311" i="7"/>
  <c r="I319" i="7"/>
  <c r="J335" i="7"/>
  <c r="I343" i="7"/>
  <c r="I351" i="7"/>
  <c r="L405" i="7"/>
  <c r="I419" i="7"/>
  <c r="J431" i="7"/>
  <c r="L436" i="7"/>
  <c r="I477" i="7"/>
  <c r="J499" i="7"/>
  <c r="J504" i="7"/>
  <c r="G21" i="2"/>
  <c r="L72" i="7"/>
  <c r="L40" i="7"/>
  <c r="H43" i="7"/>
  <c r="L44" i="7"/>
  <c r="H47" i="7"/>
  <c r="L48" i="7"/>
  <c r="H51" i="7"/>
  <c r="L52" i="7"/>
  <c r="H55" i="7"/>
  <c r="L56" i="7"/>
  <c r="H59" i="7"/>
  <c r="L60" i="7"/>
  <c r="H63" i="7"/>
  <c r="L64" i="7"/>
  <c r="H67" i="7"/>
  <c r="L68" i="7"/>
  <c r="H71" i="7"/>
  <c r="I75" i="7"/>
  <c r="H78" i="7"/>
  <c r="K79" i="7"/>
  <c r="J82" i="7"/>
  <c r="I85" i="7"/>
  <c r="I88" i="7"/>
  <c r="K89" i="7"/>
  <c r="H95" i="7"/>
  <c r="H97" i="7"/>
  <c r="L98" i="7"/>
  <c r="H103" i="7"/>
  <c r="H105" i="7"/>
  <c r="L106" i="7"/>
  <c r="H111" i="7"/>
  <c r="H113" i="7"/>
  <c r="L114" i="7"/>
  <c r="H119" i="7"/>
  <c r="H121" i="7"/>
  <c r="L122" i="7"/>
  <c r="H127" i="7"/>
  <c r="H129" i="7"/>
  <c r="L130" i="7"/>
  <c r="H135" i="7"/>
  <c r="H137" i="7"/>
  <c r="L138" i="7"/>
  <c r="H143" i="7"/>
  <c r="H145" i="7"/>
  <c r="L146" i="7"/>
  <c r="H151" i="7"/>
  <c r="H153" i="7"/>
  <c r="L154" i="7"/>
  <c r="H159" i="7"/>
  <c r="H161" i="7"/>
  <c r="L162" i="7"/>
  <c r="I167" i="7"/>
  <c r="L169" i="7"/>
  <c r="J171" i="7"/>
  <c r="K173" i="7"/>
  <c r="I180" i="7"/>
  <c r="J182" i="7"/>
  <c r="L186" i="7"/>
  <c r="H189" i="7"/>
  <c r="J191" i="7"/>
  <c r="K195" i="7"/>
  <c r="H198" i="7"/>
  <c r="J200" i="7"/>
  <c r="K204" i="7"/>
  <c r="I211" i="7"/>
  <c r="H214" i="7"/>
  <c r="I219" i="7"/>
  <c r="I222" i="7"/>
  <c r="J230" i="7"/>
  <c r="H236" i="7"/>
  <c r="J244" i="7"/>
  <c r="J247" i="7"/>
  <c r="K255" i="7"/>
  <c r="H261" i="7"/>
  <c r="L266" i="7"/>
  <c r="J270" i="7"/>
  <c r="H274" i="7"/>
  <c r="H280" i="7"/>
  <c r="I283" i="7"/>
  <c r="H297" i="7"/>
  <c r="I301" i="7"/>
  <c r="L304" i="7"/>
  <c r="I316" i="7"/>
  <c r="J319" i="7"/>
  <c r="H332" i="7"/>
  <c r="J343" i="7"/>
  <c r="J351" i="7"/>
  <c r="L359" i="7"/>
  <c r="J419" i="7"/>
  <c r="I447" i="7"/>
  <c r="H452" i="7"/>
  <c r="K504" i="7"/>
  <c r="J523" i="7"/>
  <c r="K527" i="7"/>
  <c r="J526" i="7"/>
  <c r="I525" i="7"/>
  <c r="H524" i="7"/>
  <c r="G523" i="7"/>
  <c r="L520" i="7"/>
  <c r="K519" i="7"/>
  <c r="J518" i="7"/>
  <c r="I517" i="7"/>
  <c r="H516" i="7"/>
  <c r="G515" i="7"/>
  <c r="L512" i="7"/>
  <c r="K511" i="7"/>
  <c r="J510" i="7"/>
  <c r="I509" i="7"/>
  <c r="H508" i="7"/>
  <c r="G507" i="7"/>
  <c r="J527" i="7"/>
  <c r="H527" i="7"/>
  <c r="K524" i="7"/>
  <c r="I523" i="7"/>
  <c r="G522" i="7"/>
  <c r="J519" i="7"/>
  <c r="H518" i="7"/>
  <c r="K515" i="7"/>
  <c r="I514" i="7"/>
  <c r="H513" i="7"/>
  <c r="K510" i="7"/>
  <c r="H509" i="7"/>
  <c r="K506" i="7"/>
  <c r="J505" i="7"/>
  <c r="I504" i="7"/>
  <c r="H503" i="7"/>
  <c r="G502" i="7"/>
  <c r="L499" i="7"/>
  <c r="K498" i="7"/>
  <c r="J497" i="7"/>
  <c r="I496" i="7"/>
  <c r="H495" i="7"/>
  <c r="G494" i="7"/>
  <c r="L491" i="7"/>
  <c r="K490" i="7"/>
  <c r="J489" i="7"/>
  <c r="I488" i="7"/>
  <c r="H487" i="7"/>
  <c r="G486" i="7"/>
  <c r="L483" i="7"/>
  <c r="K482" i="7"/>
  <c r="J481" i="7"/>
  <c r="I480" i="7"/>
  <c r="H479" i="7"/>
  <c r="G478" i="7"/>
  <c r="L475" i="7"/>
  <c r="K474" i="7"/>
  <c r="J473" i="7"/>
  <c r="I472" i="7"/>
  <c r="H471" i="7"/>
  <c r="G470" i="7"/>
  <c r="L467" i="7"/>
  <c r="K466" i="7"/>
  <c r="J465" i="7"/>
  <c r="I464" i="7"/>
  <c r="H463" i="7"/>
  <c r="G462" i="7"/>
  <c r="L459" i="7"/>
  <c r="K458" i="7"/>
  <c r="J457" i="7"/>
  <c r="I456" i="7"/>
  <c r="H455" i="7"/>
  <c r="G454" i="7"/>
  <c r="L451" i="7"/>
  <c r="K450" i="7"/>
  <c r="J449" i="7"/>
  <c r="I448" i="7"/>
  <c r="H447" i="7"/>
  <c r="G446" i="7"/>
  <c r="L443" i="7"/>
  <c r="K442" i="7"/>
  <c r="J441" i="7"/>
  <c r="I440" i="7"/>
  <c r="H439" i="7"/>
  <c r="G438" i="7"/>
  <c r="L435" i="7"/>
  <c r="K434" i="7"/>
  <c r="J433" i="7"/>
  <c r="I432" i="7"/>
  <c r="H431" i="7"/>
  <c r="G430" i="7"/>
  <c r="L427" i="7"/>
  <c r="K426" i="7"/>
  <c r="J425" i="7"/>
  <c r="I424" i="7"/>
  <c r="H423" i="7"/>
  <c r="G422" i="7"/>
  <c r="L419" i="7"/>
  <c r="K418" i="7"/>
  <c r="J417" i="7"/>
  <c r="I416" i="7"/>
  <c r="H415" i="7"/>
  <c r="G414" i="7"/>
  <c r="L411" i="7"/>
  <c r="K410" i="7"/>
  <c r="J409" i="7"/>
  <c r="I408" i="7"/>
  <c r="H407" i="7"/>
  <c r="G406" i="7"/>
  <c r="L403" i="7"/>
  <c r="K402" i="7"/>
  <c r="J401" i="7"/>
  <c r="I400" i="7"/>
  <c r="H399" i="7"/>
  <c r="G398" i="7"/>
  <c r="L395" i="7"/>
  <c r="K394" i="7"/>
  <c r="J393" i="7"/>
  <c r="I392" i="7"/>
  <c r="H391" i="7"/>
  <c r="G390" i="7"/>
  <c r="L387" i="7"/>
  <c r="K386" i="7"/>
  <c r="J385" i="7"/>
  <c r="I384" i="7"/>
  <c r="H383" i="7"/>
  <c r="G382" i="7"/>
  <c r="L379" i="7"/>
  <c r="K378" i="7"/>
  <c r="J377" i="7"/>
  <c r="I376" i="7"/>
  <c r="H375" i="7"/>
  <c r="G374" i="7"/>
  <c r="L371" i="7"/>
  <c r="K370" i="7"/>
  <c r="J369" i="7"/>
  <c r="I368" i="7"/>
  <c r="H367" i="7"/>
  <c r="G366" i="7"/>
  <c r="L363" i="7"/>
  <c r="K362" i="7"/>
  <c r="J361" i="7"/>
  <c r="I360" i="7"/>
  <c r="H359" i="7"/>
  <c r="G358" i="7"/>
  <c r="L355" i="7"/>
  <c r="K354" i="7"/>
  <c r="J353" i="7"/>
  <c r="I352" i="7"/>
  <c r="H351" i="7"/>
  <c r="G350" i="7"/>
  <c r="L347" i="7"/>
  <c r="K346" i="7"/>
  <c r="J345" i="7"/>
  <c r="I344" i="7"/>
  <c r="H343" i="7"/>
  <c r="G342" i="7"/>
  <c r="L339" i="7"/>
  <c r="K338" i="7"/>
  <c r="J337" i="7"/>
  <c r="I336" i="7"/>
  <c r="H335" i="7"/>
  <c r="G334" i="7"/>
  <c r="L331" i="7"/>
  <c r="K330" i="7"/>
  <c r="J329" i="7"/>
  <c r="I328" i="7"/>
  <c r="H327" i="7"/>
  <c r="G326" i="7"/>
  <c r="L323" i="7"/>
  <c r="K322" i="7"/>
  <c r="J321" i="7"/>
  <c r="I320" i="7"/>
  <c r="H319" i="7"/>
  <c r="G318" i="7"/>
  <c r="L315" i="7"/>
  <c r="K314" i="7"/>
  <c r="J313" i="7"/>
  <c r="I312" i="7"/>
  <c r="H311" i="7"/>
  <c r="G310" i="7"/>
  <c r="L307" i="7"/>
  <c r="K306" i="7"/>
  <c r="J305" i="7"/>
  <c r="I304" i="7"/>
  <c r="H303" i="7"/>
  <c r="G302" i="7"/>
  <c r="L299" i="7"/>
  <c r="K298" i="7"/>
  <c r="J297" i="7"/>
  <c r="I296" i="7"/>
  <c r="G527" i="7"/>
  <c r="L525" i="7"/>
  <c r="J524" i="7"/>
  <c r="H523" i="7"/>
  <c r="K520" i="7"/>
  <c r="I519" i="7"/>
  <c r="G518" i="7"/>
  <c r="L516" i="7"/>
  <c r="J515" i="7"/>
  <c r="H514" i="7"/>
  <c r="G513" i="7"/>
  <c r="L511" i="7"/>
  <c r="I510" i="7"/>
  <c r="G509" i="7"/>
  <c r="L507" i="7"/>
  <c r="J506" i="7"/>
  <c r="I505" i="7"/>
  <c r="H504" i="7"/>
  <c r="G503" i="7"/>
  <c r="L500" i="7"/>
  <c r="K499" i="7"/>
  <c r="J498" i="7"/>
  <c r="I497" i="7"/>
  <c r="H496" i="7"/>
  <c r="G495" i="7"/>
  <c r="L492" i="7"/>
  <c r="K491" i="7"/>
  <c r="J490" i="7"/>
  <c r="I489" i="7"/>
  <c r="H488" i="7"/>
  <c r="G487" i="7"/>
  <c r="L484" i="7"/>
  <c r="K483" i="7"/>
  <c r="J482" i="7"/>
  <c r="I481" i="7"/>
  <c r="H480" i="7"/>
  <c r="G479" i="7"/>
  <c r="L476" i="7"/>
  <c r="K475" i="7"/>
  <c r="J474" i="7"/>
  <c r="I473" i="7"/>
  <c r="H472" i="7"/>
  <c r="G471" i="7"/>
  <c r="L468" i="7"/>
  <c r="K467" i="7"/>
  <c r="J466" i="7"/>
  <c r="I465" i="7"/>
  <c r="H464" i="7"/>
  <c r="G463" i="7"/>
  <c r="L460" i="7"/>
  <c r="K459" i="7"/>
  <c r="J458" i="7"/>
  <c r="I457" i="7"/>
  <c r="H456" i="7"/>
  <c r="G455" i="7"/>
  <c r="L452" i="7"/>
  <c r="K451" i="7"/>
  <c r="J450" i="7"/>
  <c r="I449" i="7"/>
  <c r="H448" i="7"/>
  <c r="G447" i="7"/>
  <c r="K526" i="7"/>
  <c r="H525" i="7"/>
  <c r="K522" i="7"/>
  <c r="J521" i="7"/>
  <c r="H520" i="7"/>
  <c r="K517" i="7"/>
  <c r="I516" i="7"/>
  <c r="L513" i="7"/>
  <c r="J512" i="7"/>
  <c r="H511" i="7"/>
  <c r="K508" i="7"/>
  <c r="I507" i="7"/>
  <c r="G506" i="7"/>
  <c r="L503" i="7"/>
  <c r="K502" i="7"/>
  <c r="J501" i="7"/>
  <c r="I500" i="7"/>
  <c r="H499" i="7"/>
  <c r="G498" i="7"/>
  <c r="L495" i="7"/>
  <c r="K494" i="7"/>
  <c r="J493" i="7"/>
  <c r="I492" i="7"/>
  <c r="H491" i="7"/>
  <c r="G490" i="7"/>
  <c r="L487" i="7"/>
  <c r="K486" i="7"/>
  <c r="J485" i="7"/>
  <c r="I484" i="7"/>
  <c r="H483" i="7"/>
  <c r="G482" i="7"/>
  <c r="L479" i="7"/>
  <c r="K478" i="7"/>
  <c r="J477" i="7"/>
  <c r="I476" i="7"/>
  <c r="H475" i="7"/>
  <c r="G474" i="7"/>
  <c r="L471" i="7"/>
  <c r="K470" i="7"/>
  <c r="J469" i="7"/>
  <c r="I468" i="7"/>
  <c r="H467" i="7"/>
  <c r="G466" i="7"/>
  <c r="L463" i="7"/>
  <c r="K462" i="7"/>
  <c r="J461" i="7"/>
  <c r="I460" i="7"/>
  <c r="H459" i="7"/>
  <c r="G458" i="7"/>
  <c r="L455" i="7"/>
  <c r="K454" i="7"/>
  <c r="J453" i="7"/>
  <c r="I452" i="7"/>
  <c r="H451" i="7"/>
  <c r="G450" i="7"/>
  <c r="L447" i="7"/>
  <c r="K446" i="7"/>
  <c r="J445" i="7"/>
  <c r="I444" i="7"/>
  <c r="H443" i="7"/>
  <c r="G442" i="7"/>
  <c r="L439" i="7"/>
  <c r="K438" i="7"/>
  <c r="J437" i="7"/>
  <c r="I436" i="7"/>
  <c r="H435" i="7"/>
  <c r="G434" i="7"/>
  <c r="L431" i="7"/>
  <c r="K430" i="7"/>
  <c r="J429" i="7"/>
  <c r="I428" i="7"/>
  <c r="H427" i="7"/>
  <c r="G426" i="7"/>
  <c r="L423" i="7"/>
  <c r="K422" i="7"/>
  <c r="J421" i="7"/>
  <c r="I420" i="7"/>
  <c r="H419" i="7"/>
  <c r="G418" i="7"/>
  <c r="L415" i="7"/>
  <c r="I526" i="7"/>
  <c r="G525" i="7"/>
  <c r="L523" i="7"/>
  <c r="J522" i="7"/>
  <c r="I521" i="7"/>
  <c r="G520" i="7"/>
  <c r="L518" i="7"/>
  <c r="J517" i="7"/>
  <c r="G516" i="7"/>
  <c r="L514" i="7"/>
  <c r="K513" i="7"/>
  <c r="I512" i="7"/>
  <c r="G511" i="7"/>
  <c r="L509" i="7"/>
  <c r="L524" i="7"/>
  <c r="I522" i="7"/>
  <c r="J520" i="7"/>
  <c r="I518" i="7"/>
  <c r="J511" i="7"/>
  <c r="J509" i="7"/>
  <c r="J507" i="7"/>
  <c r="K505" i="7"/>
  <c r="H502" i="7"/>
  <c r="K500" i="7"/>
  <c r="G497" i="7"/>
  <c r="J495" i="7"/>
  <c r="L493" i="7"/>
  <c r="H492" i="7"/>
  <c r="I490" i="7"/>
  <c r="L488" i="7"/>
  <c r="I485" i="7"/>
  <c r="J480" i="7"/>
  <c r="J478" i="7"/>
  <c r="G477" i="7"/>
  <c r="I475" i="7"/>
  <c r="K473" i="7"/>
  <c r="H470" i="7"/>
  <c r="K468" i="7"/>
  <c r="G465" i="7"/>
  <c r="J463" i="7"/>
  <c r="L461" i="7"/>
  <c r="H460" i="7"/>
  <c r="I458" i="7"/>
  <c r="L456" i="7"/>
  <c r="I453" i="7"/>
  <c r="J448" i="7"/>
  <c r="J446" i="7"/>
  <c r="G445" i="7"/>
  <c r="K443" i="7"/>
  <c r="H442" i="7"/>
  <c r="L440" i="7"/>
  <c r="I439" i="7"/>
  <c r="L437" i="7"/>
  <c r="J436" i="7"/>
  <c r="I433" i="7"/>
  <c r="G432" i="7"/>
  <c r="J430" i="7"/>
  <c r="G429" i="7"/>
  <c r="K427" i="7"/>
  <c r="H426" i="7"/>
  <c r="L424" i="7"/>
  <c r="I423" i="7"/>
  <c r="L421" i="7"/>
  <c r="J420" i="7"/>
  <c r="I417" i="7"/>
  <c r="G416" i="7"/>
  <c r="K414" i="7"/>
  <c r="I413" i="7"/>
  <c r="H412" i="7"/>
  <c r="K409" i="7"/>
  <c r="H408" i="7"/>
  <c r="K405" i="7"/>
  <c r="J404" i="7"/>
  <c r="H403" i="7"/>
  <c r="K400" i="7"/>
  <c r="I399" i="7"/>
  <c r="L396" i="7"/>
  <c r="J395" i="7"/>
  <c r="H394" i="7"/>
  <c r="K391" i="7"/>
  <c r="I390" i="7"/>
  <c r="G389" i="7"/>
  <c r="J386" i="7"/>
  <c r="H385" i="7"/>
  <c r="K382" i="7"/>
  <c r="I381" i="7"/>
  <c r="H380" i="7"/>
  <c r="K377" i="7"/>
  <c r="H376" i="7"/>
  <c r="K373" i="7"/>
  <c r="J372" i="7"/>
  <c r="H371" i="7"/>
  <c r="K368" i="7"/>
  <c r="I367" i="7"/>
  <c r="L364" i="7"/>
  <c r="J363" i="7"/>
  <c r="H362" i="7"/>
  <c r="K359" i="7"/>
  <c r="I358" i="7"/>
  <c r="G357" i="7"/>
  <c r="J354" i="7"/>
  <c r="H353" i="7"/>
  <c r="K350" i="7"/>
  <c r="I349" i="7"/>
  <c r="H348" i="7"/>
  <c r="K345" i="7"/>
  <c r="H344" i="7"/>
  <c r="K341" i="7"/>
  <c r="J340" i="7"/>
  <c r="H339" i="7"/>
  <c r="K336" i="7"/>
  <c r="I335" i="7"/>
  <c r="L332" i="7"/>
  <c r="J331" i="7"/>
  <c r="H330" i="7"/>
  <c r="K327" i="7"/>
  <c r="I326" i="7"/>
  <c r="G325" i="7"/>
  <c r="J322" i="7"/>
  <c r="L526" i="7"/>
  <c r="I524" i="7"/>
  <c r="H522" i="7"/>
  <c r="I520" i="7"/>
  <c r="L515" i="7"/>
  <c r="J513" i="7"/>
  <c r="I511" i="7"/>
  <c r="H507" i="7"/>
  <c r="H505" i="7"/>
  <c r="K503" i="7"/>
  <c r="J500" i="7"/>
  <c r="L498" i="7"/>
  <c r="I495" i="7"/>
  <c r="K493" i="7"/>
  <c r="G492" i="7"/>
  <c r="H490" i="7"/>
  <c r="K488" i="7"/>
  <c r="L486" i="7"/>
  <c r="H485" i="7"/>
  <c r="J483" i="7"/>
  <c r="L481" i="7"/>
  <c r="G480" i="7"/>
  <c r="I478" i="7"/>
  <c r="G475" i="7"/>
  <c r="H473" i="7"/>
  <c r="K471" i="7"/>
  <c r="J468" i="7"/>
  <c r="L466" i="7"/>
  <c r="I463" i="7"/>
  <c r="K461" i="7"/>
  <c r="G460" i="7"/>
  <c r="H458" i="7"/>
  <c r="K456" i="7"/>
  <c r="L454" i="7"/>
  <c r="H453" i="7"/>
  <c r="J451" i="7"/>
  <c r="L449" i="7"/>
  <c r="G448" i="7"/>
  <c r="I446" i="7"/>
  <c r="J443" i="7"/>
  <c r="K440" i="7"/>
  <c r="G439" i="7"/>
  <c r="K437" i="7"/>
  <c r="H436" i="7"/>
  <c r="L434" i="7"/>
  <c r="H433" i="7"/>
  <c r="I430" i="7"/>
  <c r="J427" i="7"/>
  <c r="K424" i="7"/>
  <c r="G423" i="7"/>
  <c r="K421" i="7"/>
  <c r="H420" i="7"/>
  <c r="L418" i="7"/>
  <c r="H417" i="7"/>
  <c r="J414" i="7"/>
  <c r="H413" i="7"/>
  <c r="G412" i="7"/>
  <c r="L410" i="7"/>
  <c r="I409" i="7"/>
  <c r="G408" i="7"/>
  <c r="L406" i="7"/>
  <c r="J405" i="7"/>
  <c r="I404" i="7"/>
  <c r="G403" i="7"/>
  <c r="L401" i="7"/>
  <c r="J400" i="7"/>
  <c r="G399" i="7"/>
  <c r="L397" i="7"/>
  <c r="K396" i="7"/>
  <c r="I395" i="7"/>
  <c r="G394" i="7"/>
  <c r="L392" i="7"/>
  <c r="J391" i="7"/>
  <c r="H390" i="7"/>
  <c r="K387" i="7"/>
  <c r="I386" i="7"/>
  <c r="G385" i="7"/>
  <c r="L383" i="7"/>
  <c r="J382" i="7"/>
  <c r="H381" i="7"/>
  <c r="G380" i="7"/>
  <c r="L378" i="7"/>
  <c r="I377" i="7"/>
  <c r="G376" i="7"/>
  <c r="L374" i="7"/>
  <c r="J373" i="7"/>
  <c r="I372" i="7"/>
  <c r="G371" i="7"/>
  <c r="L369" i="7"/>
  <c r="J368" i="7"/>
  <c r="G367" i="7"/>
  <c r="L365" i="7"/>
  <c r="K364" i="7"/>
  <c r="I363" i="7"/>
  <c r="G362" i="7"/>
  <c r="L360" i="7"/>
  <c r="J359" i="7"/>
  <c r="H358" i="7"/>
  <c r="K355" i="7"/>
  <c r="I354" i="7"/>
  <c r="G353" i="7"/>
  <c r="L351" i="7"/>
  <c r="J350" i="7"/>
  <c r="H349" i="7"/>
  <c r="G348" i="7"/>
  <c r="L346" i="7"/>
  <c r="I345" i="7"/>
  <c r="G344" i="7"/>
  <c r="L342" i="7"/>
  <c r="J341" i="7"/>
  <c r="I340" i="7"/>
  <c r="G339" i="7"/>
  <c r="L337" i="7"/>
  <c r="J336" i="7"/>
  <c r="G335" i="7"/>
  <c r="L333" i="7"/>
  <c r="K332" i="7"/>
  <c r="I331" i="7"/>
  <c r="G330" i="7"/>
  <c r="L328" i="7"/>
  <c r="J327" i="7"/>
  <c r="H326" i="7"/>
  <c r="K323" i="7"/>
  <c r="I322" i="7"/>
  <c r="G321" i="7"/>
  <c r="L319" i="7"/>
  <c r="J318" i="7"/>
  <c r="H317" i="7"/>
  <c r="G316" i="7"/>
  <c r="L314" i="7"/>
  <c r="I313" i="7"/>
  <c r="G312" i="7"/>
  <c r="L310" i="7"/>
  <c r="J309" i="7"/>
  <c r="I308" i="7"/>
  <c r="G307" i="7"/>
  <c r="L305" i="7"/>
  <c r="J304" i="7"/>
  <c r="G303" i="7"/>
  <c r="L301" i="7"/>
  <c r="K300" i="7"/>
  <c r="I299" i="7"/>
  <c r="G298" i="7"/>
  <c r="L296" i="7"/>
  <c r="J295" i="7"/>
  <c r="I294" i="7"/>
  <c r="H293" i="7"/>
  <c r="G292" i="7"/>
  <c r="L289" i="7"/>
  <c r="K288" i="7"/>
  <c r="J287" i="7"/>
  <c r="I286" i="7"/>
  <c r="H285" i="7"/>
  <c r="G284" i="7"/>
  <c r="L281" i="7"/>
  <c r="K280" i="7"/>
  <c r="J279" i="7"/>
  <c r="I278" i="7"/>
  <c r="H277" i="7"/>
  <c r="G276" i="7"/>
  <c r="L273" i="7"/>
  <c r="K272" i="7"/>
  <c r="J271" i="7"/>
  <c r="I270" i="7"/>
  <c r="H269" i="7"/>
  <c r="G268" i="7"/>
  <c r="L265" i="7"/>
  <c r="K264" i="7"/>
  <c r="J263" i="7"/>
  <c r="I262" i="7"/>
  <c r="H526" i="7"/>
  <c r="G524" i="7"/>
  <c r="L517" i="7"/>
  <c r="I515" i="7"/>
  <c r="I513" i="7"/>
  <c r="L508" i="7"/>
  <c r="G505" i="7"/>
  <c r="J503" i="7"/>
  <c r="L501" i="7"/>
  <c r="H500" i="7"/>
  <c r="I498" i="7"/>
  <c r="L496" i="7"/>
  <c r="I493" i="7"/>
  <c r="J488" i="7"/>
  <c r="J486" i="7"/>
  <c r="G485" i="7"/>
  <c r="I483" i="7"/>
  <c r="K481" i="7"/>
  <c r="H478" i="7"/>
  <c r="K476" i="7"/>
  <c r="G473" i="7"/>
  <c r="J471" i="7"/>
  <c r="L469" i="7"/>
  <c r="H468" i="7"/>
  <c r="I466" i="7"/>
  <c r="L464" i="7"/>
  <c r="I461" i="7"/>
  <c r="J456" i="7"/>
  <c r="J454" i="7"/>
  <c r="G453" i="7"/>
  <c r="I451" i="7"/>
  <c r="K449" i="7"/>
  <c r="H446" i="7"/>
  <c r="L444" i="7"/>
  <c r="I443" i="7"/>
  <c r="L441" i="7"/>
  <c r="J440" i="7"/>
  <c r="I437" i="7"/>
  <c r="G436" i="7"/>
  <c r="J434" i="7"/>
  <c r="G433" i="7"/>
  <c r="K431" i="7"/>
  <c r="H430" i="7"/>
  <c r="L428" i="7"/>
  <c r="I427" i="7"/>
  <c r="L425" i="7"/>
  <c r="J424" i="7"/>
  <c r="I421" i="7"/>
  <c r="G420" i="7"/>
  <c r="J418" i="7"/>
  <c r="G417" i="7"/>
  <c r="K415" i="7"/>
  <c r="I414" i="7"/>
  <c r="G413" i="7"/>
  <c r="J410" i="7"/>
  <c r="H409" i="7"/>
  <c r="K406" i="7"/>
  <c r="I405" i="7"/>
  <c r="H404" i="7"/>
  <c r="K401" i="7"/>
  <c r="H400" i="7"/>
  <c r="K397" i="7"/>
  <c r="J396" i="7"/>
  <c r="H395" i="7"/>
  <c r="K392" i="7"/>
  <c r="I391" i="7"/>
  <c r="L388" i="7"/>
  <c r="J387" i="7"/>
  <c r="H386" i="7"/>
  <c r="K383" i="7"/>
  <c r="I382" i="7"/>
  <c r="G381" i="7"/>
  <c r="J378" i="7"/>
  <c r="H377" i="7"/>
  <c r="K374" i="7"/>
  <c r="I373" i="7"/>
  <c r="H372" i="7"/>
  <c r="K369" i="7"/>
  <c r="H368" i="7"/>
  <c r="K365" i="7"/>
  <c r="J364" i="7"/>
  <c r="H363" i="7"/>
  <c r="K360" i="7"/>
  <c r="I359" i="7"/>
  <c r="K523" i="7"/>
  <c r="K521" i="7"/>
  <c r="H519" i="7"/>
  <c r="G517" i="7"/>
  <c r="K512" i="7"/>
  <c r="H510" i="7"/>
  <c r="I508" i="7"/>
  <c r="I506" i="7"/>
  <c r="L504" i="7"/>
  <c r="I501" i="7"/>
  <c r="J496" i="7"/>
  <c r="J494" i="7"/>
  <c r="G493" i="7"/>
  <c r="I491" i="7"/>
  <c r="K489" i="7"/>
  <c r="H486" i="7"/>
  <c r="K484" i="7"/>
  <c r="G481" i="7"/>
  <c r="J479" i="7"/>
  <c r="L477" i="7"/>
  <c r="H476" i="7"/>
  <c r="I474" i="7"/>
  <c r="L472" i="7"/>
  <c r="I469" i="7"/>
  <c r="J464" i="7"/>
  <c r="J462" i="7"/>
  <c r="G461" i="7"/>
  <c r="I459" i="7"/>
  <c r="K457" i="7"/>
  <c r="H454" i="7"/>
  <c r="K452" i="7"/>
  <c r="G449" i="7"/>
  <c r="J447" i="7"/>
  <c r="L445" i="7"/>
  <c r="J444" i="7"/>
  <c r="I441" i="7"/>
  <c r="G440" i="7"/>
  <c r="J438" i="7"/>
  <c r="G437" i="7"/>
  <c r="K435" i="7"/>
  <c r="H434" i="7"/>
  <c r="L432" i="7"/>
  <c r="I431" i="7"/>
  <c r="L429" i="7"/>
  <c r="J428" i="7"/>
  <c r="I425" i="7"/>
  <c r="G424" i="7"/>
  <c r="J422" i="7"/>
  <c r="G421" i="7"/>
  <c r="K419" i="7"/>
  <c r="H418" i="7"/>
  <c r="L416" i="7"/>
  <c r="I415" i="7"/>
  <c r="L412" i="7"/>
  <c r="J411" i="7"/>
  <c r="H410" i="7"/>
  <c r="K407" i="7"/>
  <c r="I406" i="7"/>
  <c r="G405" i="7"/>
  <c r="J402" i="7"/>
  <c r="H401" i="7"/>
  <c r="K398" i="7"/>
  <c r="I397" i="7"/>
  <c r="H396" i="7"/>
  <c r="K393" i="7"/>
  <c r="H392" i="7"/>
  <c r="K389" i="7"/>
  <c r="J388" i="7"/>
  <c r="H387" i="7"/>
  <c r="K384" i="7"/>
  <c r="I383" i="7"/>
  <c r="L380" i="7"/>
  <c r="J379" i="7"/>
  <c r="H378" i="7"/>
  <c r="K375" i="7"/>
  <c r="I374" i="7"/>
  <c r="G373" i="7"/>
  <c r="J370" i="7"/>
  <c r="H369" i="7"/>
  <c r="K366" i="7"/>
  <c r="I365" i="7"/>
  <c r="H364" i="7"/>
  <c r="K361" i="7"/>
  <c r="H360" i="7"/>
  <c r="L519" i="7"/>
  <c r="J516" i="7"/>
  <c r="K509" i="7"/>
  <c r="H506" i="7"/>
  <c r="I503" i="7"/>
  <c r="G501" i="7"/>
  <c r="H498" i="7"/>
  <c r="J487" i="7"/>
  <c r="J484" i="7"/>
  <c r="H482" i="7"/>
  <c r="I479" i="7"/>
  <c r="J476" i="7"/>
  <c r="L473" i="7"/>
  <c r="L470" i="7"/>
  <c r="G468" i="7"/>
  <c r="L465" i="7"/>
  <c r="J460" i="7"/>
  <c r="H457" i="7"/>
  <c r="G452" i="7"/>
  <c r="H449" i="7"/>
  <c r="L446" i="7"/>
  <c r="G444" i="7"/>
  <c r="K441" i="7"/>
  <c r="K436" i="7"/>
  <c r="L433" i="7"/>
  <c r="G431" i="7"/>
  <c r="K428" i="7"/>
  <c r="I426" i="7"/>
  <c r="K423" i="7"/>
  <c r="I418" i="7"/>
  <c r="K413" i="7"/>
  <c r="I411" i="7"/>
  <c r="G409" i="7"/>
  <c r="I407" i="7"/>
  <c r="L398" i="7"/>
  <c r="J394" i="7"/>
  <c r="J392" i="7"/>
  <c r="J390" i="7"/>
  <c r="I388" i="7"/>
  <c r="G386" i="7"/>
  <c r="H384" i="7"/>
  <c r="L375" i="7"/>
  <c r="L373" i="7"/>
  <c r="J371" i="7"/>
  <c r="I369" i="7"/>
  <c r="J367" i="7"/>
  <c r="H365" i="7"/>
  <c r="G361" i="7"/>
  <c r="L358" i="7"/>
  <c r="H357" i="7"/>
  <c r="G354" i="7"/>
  <c r="J352" i="7"/>
  <c r="G349" i="7"/>
  <c r="J347" i="7"/>
  <c r="G346" i="7"/>
  <c r="J344" i="7"/>
  <c r="K342" i="7"/>
  <c r="G341" i="7"/>
  <c r="J339" i="7"/>
  <c r="G336" i="7"/>
  <c r="J334" i="7"/>
  <c r="G333" i="7"/>
  <c r="H331" i="7"/>
  <c r="K329" i="7"/>
  <c r="G328" i="7"/>
  <c r="J326" i="7"/>
  <c r="L324" i="7"/>
  <c r="I323" i="7"/>
  <c r="L321" i="7"/>
  <c r="H320" i="7"/>
  <c r="L318" i="7"/>
  <c r="I317" i="7"/>
  <c r="I314" i="7"/>
  <c r="J311" i="7"/>
  <c r="K308" i="7"/>
  <c r="H307" i="7"/>
  <c r="K305" i="7"/>
  <c r="G304" i="7"/>
  <c r="K302" i="7"/>
  <c r="H301" i="7"/>
  <c r="I298" i="7"/>
  <c r="I295" i="7"/>
  <c r="G294" i="7"/>
  <c r="L292" i="7"/>
  <c r="J291" i="7"/>
  <c r="I290" i="7"/>
  <c r="G289" i="7"/>
  <c r="L287" i="7"/>
  <c r="J286" i="7"/>
  <c r="G285" i="7"/>
  <c r="L283" i="7"/>
  <c r="K282" i="7"/>
  <c r="I281" i="7"/>
  <c r="G280" i="7"/>
  <c r="L278" i="7"/>
  <c r="J277" i="7"/>
  <c r="H276" i="7"/>
  <c r="K273" i="7"/>
  <c r="I272" i="7"/>
  <c r="G271" i="7"/>
  <c r="L269" i="7"/>
  <c r="J268" i="7"/>
  <c r="H267" i="7"/>
  <c r="G266" i="7"/>
  <c r="L264" i="7"/>
  <c r="I263" i="7"/>
  <c r="G262" i="7"/>
  <c r="L259" i="7"/>
  <c r="K258" i="7"/>
  <c r="J257" i="7"/>
  <c r="I256" i="7"/>
  <c r="H255" i="7"/>
  <c r="G254" i="7"/>
  <c r="L251" i="7"/>
  <c r="K250" i="7"/>
  <c r="J249" i="7"/>
  <c r="I248" i="7"/>
  <c r="H247" i="7"/>
  <c r="G246" i="7"/>
  <c r="L243" i="7"/>
  <c r="K242" i="7"/>
  <c r="J241" i="7"/>
  <c r="I240" i="7"/>
  <c r="H239" i="7"/>
  <c r="G238" i="7"/>
  <c r="L235" i="7"/>
  <c r="K234" i="7"/>
  <c r="J233" i="7"/>
  <c r="I232" i="7"/>
  <c r="H231" i="7"/>
  <c r="G230" i="7"/>
  <c r="L227" i="7"/>
  <c r="K226" i="7"/>
  <c r="J225" i="7"/>
  <c r="I224" i="7"/>
  <c r="H223" i="7"/>
  <c r="G222" i="7"/>
  <c r="L219" i="7"/>
  <c r="K218" i="7"/>
  <c r="J217" i="7"/>
  <c r="I216" i="7"/>
  <c r="H215" i="7"/>
  <c r="G214" i="7"/>
  <c r="L211" i="7"/>
  <c r="K210" i="7"/>
  <c r="J209" i="7"/>
  <c r="I208" i="7"/>
  <c r="H207" i="7"/>
  <c r="G206" i="7"/>
  <c r="L203" i="7"/>
  <c r="K202" i="7"/>
  <c r="J201" i="7"/>
  <c r="I200" i="7"/>
  <c r="H199" i="7"/>
  <c r="G198" i="7"/>
  <c r="L195" i="7"/>
  <c r="K194" i="7"/>
  <c r="J193" i="7"/>
  <c r="I192" i="7"/>
  <c r="H191" i="7"/>
  <c r="G190" i="7"/>
  <c r="L187" i="7"/>
  <c r="K186" i="7"/>
  <c r="J185" i="7"/>
  <c r="I184" i="7"/>
  <c r="H183" i="7"/>
  <c r="G182" i="7"/>
  <c r="L179" i="7"/>
  <c r="K178" i="7"/>
  <c r="J177" i="7"/>
  <c r="I176" i="7"/>
  <c r="H175" i="7"/>
  <c r="G174" i="7"/>
  <c r="L171" i="7"/>
  <c r="K170" i="7"/>
  <c r="J169" i="7"/>
  <c r="I168" i="7"/>
  <c r="H167" i="7"/>
  <c r="G166" i="7"/>
  <c r="G526" i="7"/>
  <c r="L522" i="7"/>
  <c r="G519" i="7"/>
  <c r="H512" i="7"/>
  <c r="K495" i="7"/>
  <c r="K492" i="7"/>
  <c r="L489" i="7"/>
  <c r="I487" i="7"/>
  <c r="H484" i="7"/>
  <c r="G476" i="7"/>
  <c r="J470" i="7"/>
  <c r="K465" i="7"/>
  <c r="L462" i="7"/>
  <c r="G457" i="7"/>
  <c r="I454" i="7"/>
  <c r="H441" i="7"/>
  <c r="L438" i="7"/>
  <c r="K433" i="7"/>
  <c r="H428" i="7"/>
  <c r="J423" i="7"/>
  <c r="L420" i="7"/>
  <c r="J415" i="7"/>
  <c r="J413" i="7"/>
  <c r="H411" i="7"/>
  <c r="G407" i="7"/>
  <c r="L404" i="7"/>
  <c r="L402" i="7"/>
  <c r="L400" i="7"/>
  <c r="J398" i="7"/>
  <c r="I396" i="7"/>
  <c r="I394" i="7"/>
  <c r="G392" i="7"/>
  <c r="H388" i="7"/>
  <c r="G384" i="7"/>
  <c r="L381" i="7"/>
  <c r="K379" i="7"/>
  <c r="L377" i="7"/>
  <c r="J375" i="7"/>
  <c r="H373" i="7"/>
  <c r="I371" i="7"/>
  <c r="G369" i="7"/>
  <c r="G365" i="7"/>
  <c r="L362" i="7"/>
  <c r="K358" i="7"/>
  <c r="J355" i="7"/>
  <c r="H352" i="7"/>
  <c r="L350" i="7"/>
  <c r="I347" i="7"/>
  <c r="J342" i="7"/>
  <c r="I339" i="7"/>
  <c r="K337" i="7"/>
  <c r="I334" i="7"/>
  <c r="G331" i="7"/>
  <c r="I329" i="7"/>
  <c r="K324" i="7"/>
  <c r="H323" i="7"/>
  <c r="K321" i="7"/>
  <c r="G320" i="7"/>
  <c r="K318" i="7"/>
  <c r="G317" i="7"/>
  <c r="K315" i="7"/>
  <c r="H314" i="7"/>
  <c r="L312" i="7"/>
  <c r="I311" i="7"/>
  <c r="L309" i="7"/>
  <c r="J308" i="7"/>
  <c r="I305" i="7"/>
  <c r="J302" i="7"/>
  <c r="G301" i="7"/>
  <c r="K299" i="7"/>
  <c r="H298" i="7"/>
  <c r="K296" i="7"/>
  <c r="H295" i="7"/>
  <c r="K292" i="7"/>
  <c r="I291" i="7"/>
  <c r="H290" i="7"/>
  <c r="K287" i="7"/>
  <c r="H286" i="7"/>
  <c r="K283" i="7"/>
  <c r="J282" i="7"/>
  <c r="H281" i="7"/>
  <c r="K278" i="7"/>
  <c r="I277" i="7"/>
  <c r="L274" i="7"/>
  <c r="J273" i="7"/>
  <c r="H272" i="7"/>
  <c r="K269" i="7"/>
  <c r="I268" i="7"/>
  <c r="G267" i="7"/>
  <c r="J264" i="7"/>
  <c r="H263" i="7"/>
  <c r="L260" i="7"/>
  <c r="K259" i="7"/>
  <c r="J258" i="7"/>
  <c r="I257" i="7"/>
  <c r="H256" i="7"/>
  <c r="G255" i="7"/>
  <c r="L252" i="7"/>
  <c r="K251" i="7"/>
  <c r="J250" i="7"/>
  <c r="I249" i="7"/>
  <c r="H248" i="7"/>
  <c r="G247" i="7"/>
  <c r="L244" i="7"/>
  <c r="K243" i="7"/>
  <c r="J242" i="7"/>
  <c r="I241" i="7"/>
  <c r="H240" i="7"/>
  <c r="G239" i="7"/>
  <c r="L236" i="7"/>
  <c r="K235" i="7"/>
  <c r="J234" i="7"/>
  <c r="I233" i="7"/>
  <c r="H232" i="7"/>
  <c r="G231" i="7"/>
  <c r="L228" i="7"/>
  <c r="K227" i="7"/>
  <c r="J226" i="7"/>
  <c r="I225" i="7"/>
  <c r="H224" i="7"/>
  <c r="G223" i="7"/>
  <c r="L220" i="7"/>
  <c r="K219" i="7"/>
  <c r="J218" i="7"/>
  <c r="I217" i="7"/>
  <c r="H216" i="7"/>
  <c r="G215" i="7"/>
  <c r="H515" i="7"/>
  <c r="G512" i="7"/>
  <c r="J508" i="7"/>
  <c r="L505" i="7"/>
  <c r="L502" i="7"/>
  <c r="G500" i="7"/>
  <c r="L497" i="7"/>
  <c r="J492" i="7"/>
  <c r="H489" i="7"/>
  <c r="G484" i="7"/>
  <c r="H481" i="7"/>
  <c r="L478" i="7"/>
  <c r="K472" i="7"/>
  <c r="I470" i="7"/>
  <c r="J467" i="7"/>
  <c r="H465" i="7"/>
  <c r="I462" i="7"/>
  <c r="J459" i="7"/>
  <c r="G451" i="7"/>
  <c r="L448" i="7"/>
  <c r="K445" i="7"/>
  <c r="G443" i="7"/>
  <c r="G441" i="7"/>
  <c r="I438" i="7"/>
  <c r="J435" i="7"/>
  <c r="L430" i="7"/>
  <c r="G428" i="7"/>
  <c r="K425" i="7"/>
  <c r="K420" i="7"/>
  <c r="L417" i="7"/>
  <c r="G415" i="7"/>
  <c r="G411" i="7"/>
  <c r="L408" i="7"/>
  <c r="K404" i="7"/>
  <c r="I402" i="7"/>
  <c r="G400" i="7"/>
  <c r="I398" i="7"/>
  <c r="G396" i="7"/>
  <c r="L389" i="7"/>
  <c r="G388" i="7"/>
  <c r="L385" i="7"/>
  <c r="K381" i="7"/>
  <c r="I379" i="7"/>
  <c r="G377" i="7"/>
  <c r="I375" i="7"/>
  <c r="L366" i="7"/>
  <c r="J362" i="7"/>
  <c r="J360" i="7"/>
  <c r="J358" i="7"/>
  <c r="L356" i="7"/>
  <c r="I355" i="7"/>
  <c r="L353" i="7"/>
  <c r="G352" i="7"/>
  <c r="I350" i="7"/>
  <c r="L348" i="7"/>
  <c r="H347" i="7"/>
  <c r="L345" i="7"/>
  <c r="L343" i="7"/>
  <c r="I342" i="7"/>
  <c r="L340" i="7"/>
  <c r="I337" i="7"/>
  <c r="L335" i="7"/>
  <c r="H334" i="7"/>
  <c r="J332" i="7"/>
  <c r="H329" i="7"/>
  <c r="L327" i="7"/>
  <c r="L325" i="7"/>
  <c r="J324" i="7"/>
  <c r="G323" i="7"/>
  <c r="I321" i="7"/>
  <c r="I318" i="7"/>
  <c r="J315" i="7"/>
  <c r="G314" i="7"/>
  <c r="K312" i="7"/>
  <c r="G311" i="7"/>
  <c r="K309" i="7"/>
  <c r="H308" i="7"/>
  <c r="L306" i="7"/>
  <c r="H305" i="7"/>
  <c r="L303" i="7"/>
  <c r="I302" i="7"/>
  <c r="J299" i="7"/>
  <c r="J296" i="7"/>
  <c r="G295" i="7"/>
  <c r="L293" i="7"/>
  <c r="J292" i="7"/>
  <c r="H291" i="7"/>
  <c r="G290" i="7"/>
  <c r="L288" i="7"/>
  <c r="I287" i="7"/>
  <c r="G286" i="7"/>
  <c r="L284" i="7"/>
  <c r="J283" i="7"/>
  <c r="I282" i="7"/>
  <c r="G281" i="7"/>
  <c r="L279" i="7"/>
  <c r="J278" i="7"/>
  <c r="G277" i="7"/>
  <c r="L275" i="7"/>
  <c r="K274" i="7"/>
  <c r="I273" i="7"/>
  <c r="G272" i="7"/>
  <c r="L270" i="7"/>
  <c r="J269" i="7"/>
  <c r="H268" i="7"/>
  <c r="K265" i="7"/>
  <c r="I264" i="7"/>
  <c r="G263" i="7"/>
  <c r="L261" i="7"/>
  <c r="K260" i="7"/>
  <c r="J259" i="7"/>
  <c r="I258" i="7"/>
  <c r="H257" i="7"/>
  <c r="G256" i="7"/>
  <c r="L253" i="7"/>
  <c r="K252" i="7"/>
  <c r="J251" i="7"/>
  <c r="I250" i="7"/>
  <c r="H249" i="7"/>
  <c r="G248" i="7"/>
  <c r="L245" i="7"/>
  <c r="K244" i="7"/>
  <c r="J243" i="7"/>
  <c r="I242" i="7"/>
  <c r="H241" i="7"/>
  <c r="G240" i="7"/>
  <c r="L237" i="7"/>
  <c r="K236" i="7"/>
  <c r="J235" i="7"/>
  <c r="I234" i="7"/>
  <c r="H233" i="7"/>
  <c r="G232" i="7"/>
  <c r="L229" i="7"/>
  <c r="K228" i="7"/>
  <c r="J227" i="7"/>
  <c r="I226" i="7"/>
  <c r="H225" i="7"/>
  <c r="G224" i="7"/>
  <c r="L221" i="7"/>
  <c r="K220" i="7"/>
  <c r="J219" i="7"/>
  <c r="I218" i="7"/>
  <c r="H217" i="7"/>
  <c r="G216" i="7"/>
  <c r="L213" i="7"/>
  <c r="K212" i="7"/>
  <c r="J211" i="7"/>
  <c r="I210" i="7"/>
  <c r="K525" i="7"/>
  <c r="L521" i="7"/>
  <c r="K518" i="7"/>
  <c r="G508" i="7"/>
  <c r="J502" i="7"/>
  <c r="K497" i="7"/>
  <c r="L494" i="7"/>
  <c r="G489" i="7"/>
  <c r="I486" i="7"/>
  <c r="J475" i="7"/>
  <c r="J472" i="7"/>
  <c r="I467" i="7"/>
  <c r="H462" i="7"/>
  <c r="G459" i="7"/>
  <c r="G456" i="7"/>
  <c r="L453" i="7"/>
  <c r="K448" i="7"/>
  <c r="I445" i="7"/>
  <c r="H438" i="7"/>
  <c r="I435" i="7"/>
  <c r="K432" i="7"/>
  <c r="H425" i="7"/>
  <c r="L422" i="7"/>
  <c r="K417" i="7"/>
  <c r="K412" i="7"/>
  <c r="K408" i="7"/>
  <c r="J406" i="7"/>
  <c r="G404" i="7"/>
  <c r="H402" i="7"/>
  <c r="H398" i="7"/>
  <c r="L393" i="7"/>
  <c r="L391" i="7"/>
  <c r="J389" i="7"/>
  <c r="K385" i="7"/>
  <c r="J383" i="7"/>
  <c r="J381" i="7"/>
  <c r="H379" i="7"/>
  <c r="G375" i="7"/>
  <c r="L372" i="7"/>
  <c r="L370" i="7"/>
  <c r="L368" i="7"/>
  <c r="J366" i="7"/>
  <c r="I364" i="7"/>
  <c r="I362" i="7"/>
  <c r="G360" i="7"/>
  <c r="K356" i="7"/>
  <c r="H355" i="7"/>
  <c r="K353" i="7"/>
  <c r="H350" i="7"/>
  <c r="K348" i="7"/>
  <c r="G347" i="7"/>
  <c r="H345" i="7"/>
  <c r="K343" i="7"/>
  <c r="H342" i="7"/>
  <c r="K340" i="7"/>
  <c r="L338" i="7"/>
  <c r="H337" i="7"/>
  <c r="K335" i="7"/>
  <c r="I332" i="7"/>
  <c r="L330" i="7"/>
  <c r="G329" i="7"/>
  <c r="I327" i="7"/>
  <c r="K325" i="7"/>
  <c r="I324" i="7"/>
  <c r="H321" i="7"/>
  <c r="K319" i="7"/>
  <c r="H318" i="7"/>
  <c r="L316" i="7"/>
  <c r="I315" i="7"/>
  <c r="J312" i="7"/>
  <c r="I309" i="7"/>
  <c r="G308" i="7"/>
  <c r="J306" i="7"/>
  <c r="G305" i="7"/>
  <c r="K303" i="7"/>
  <c r="H302" i="7"/>
  <c r="L300" i="7"/>
  <c r="H299" i="7"/>
  <c r="L297" i="7"/>
  <c r="H296" i="7"/>
  <c r="K293" i="7"/>
  <c r="I292" i="7"/>
  <c r="G291" i="7"/>
  <c r="J288" i="7"/>
  <c r="H287" i="7"/>
  <c r="H521" i="7"/>
  <c r="K516" i="7"/>
  <c r="I499" i="7"/>
  <c r="J491" i="7"/>
  <c r="K487" i="7"/>
  <c r="K479" i="7"/>
  <c r="I450" i="7"/>
  <c r="J442" i="7"/>
  <c r="I434" i="7"/>
  <c r="L426" i="7"/>
  <c r="I422" i="7"/>
  <c r="G419" i="7"/>
  <c r="J408" i="7"/>
  <c r="H405" i="7"/>
  <c r="G395" i="7"/>
  <c r="I385" i="7"/>
  <c r="H382" i="7"/>
  <c r="G368" i="7"/>
  <c r="J365" i="7"/>
  <c r="L361" i="7"/>
  <c r="H356" i="7"/>
  <c r="I353" i="7"/>
  <c r="G351" i="7"/>
  <c r="I348" i="7"/>
  <c r="G345" i="7"/>
  <c r="G337" i="7"/>
  <c r="K334" i="7"/>
  <c r="G332" i="7"/>
  <c r="K326" i="7"/>
  <c r="L320" i="7"/>
  <c r="H316" i="7"/>
  <c r="K313" i="7"/>
  <c r="H306" i="7"/>
  <c r="J303" i="7"/>
  <c r="L298" i="7"/>
  <c r="G296" i="7"/>
  <c r="H294" i="7"/>
  <c r="L291" i="7"/>
  <c r="J289" i="7"/>
  <c r="G287" i="7"/>
  <c r="I285" i="7"/>
  <c r="H283" i="7"/>
  <c r="J281" i="7"/>
  <c r="I279" i="7"/>
  <c r="K277" i="7"/>
  <c r="J275" i="7"/>
  <c r="G274" i="7"/>
  <c r="L271" i="7"/>
  <c r="G270" i="7"/>
  <c r="L267" i="7"/>
  <c r="I266" i="7"/>
  <c r="H264" i="7"/>
  <c r="J262" i="7"/>
  <c r="G259" i="7"/>
  <c r="G257" i="7"/>
  <c r="J255" i="7"/>
  <c r="I252" i="7"/>
  <c r="L250" i="7"/>
  <c r="L248" i="7"/>
  <c r="J245" i="7"/>
  <c r="G244" i="7"/>
  <c r="G242" i="7"/>
  <c r="J240" i="7"/>
  <c r="K238" i="7"/>
  <c r="H237" i="7"/>
  <c r="I235" i="7"/>
  <c r="L233" i="7"/>
  <c r="L231" i="7"/>
  <c r="I230" i="7"/>
  <c r="G227" i="7"/>
  <c r="G225" i="7"/>
  <c r="J223" i="7"/>
  <c r="I220" i="7"/>
  <c r="L218" i="7"/>
  <c r="L216" i="7"/>
  <c r="J213" i="7"/>
  <c r="H212" i="7"/>
  <c r="L210" i="7"/>
  <c r="H209" i="7"/>
  <c r="K206" i="7"/>
  <c r="I205" i="7"/>
  <c r="H204" i="7"/>
  <c r="K201" i="7"/>
  <c r="H200" i="7"/>
  <c r="K197" i="7"/>
  <c r="J196" i="7"/>
  <c r="H195" i="7"/>
  <c r="K192" i="7"/>
  <c r="I191" i="7"/>
  <c r="L188" i="7"/>
  <c r="J187" i="7"/>
  <c r="H186" i="7"/>
  <c r="K183" i="7"/>
  <c r="I182" i="7"/>
  <c r="G181" i="7"/>
  <c r="J178" i="7"/>
  <c r="H177" i="7"/>
  <c r="K174" i="7"/>
  <c r="I173" i="7"/>
  <c r="H172" i="7"/>
  <c r="K169" i="7"/>
  <c r="H168" i="7"/>
  <c r="K165" i="7"/>
  <c r="J164" i="7"/>
  <c r="I163" i="7"/>
  <c r="H162" i="7"/>
  <c r="G161" i="7"/>
  <c r="L158" i="7"/>
  <c r="K157" i="7"/>
  <c r="J156" i="7"/>
  <c r="I155" i="7"/>
  <c r="H154" i="7"/>
  <c r="G153" i="7"/>
  <c r="L150" i="7"/>
  <c r="K149" i="7"/>
  <c r="J148" i="7"/>
  <c r="I147" i="7"/>
  <c r="H146" i="7"/>
  <c r="G145" i="7"/>
  <c r="L142" i="7"/>
  <c r="K141" i="7"/>
  <c r="J140" i="7"/>
  <c r="I139" i="7"/>
  <c r="H138" i="7"/>
  <c r="G137" i="7"/>
  <c r="L134" i="7"/>
  <c r="K133" i="7"/>
  <c r="J132" i="7"/>
  <c r="I131" i="7"/>
  <c r="H130" i="7"/>
  <c r="G129" i="7"/>
  <c r="L126" i="7"/>
  <c r="K125" i="7"/>
  <c r="J124" i="7"/>
  <c r="I123" i="7"/>
  <c r="H122" i="7"/>
  <c r="G121" i="7"/>
  <c r="L118" i="7"/>
  <c r="K117" i="7"/>
  <c r="J116" i="7"/>
  <c r="I115" i="7"/>
  <c r="H114" i="7"/>
  <c r="G113" i="7"/>
  <c r="L110" i="7"/>
  <c r="K109" i="7"/>
  <c r="J108" i="7"/>
  <c r="I107" i="7"/>
  <c r="H106" i="7"/>
  <c r="G105" i="7"/>
  <c r="L102" i="7"/>
  <c r="K101" i="7"/>
  <c r="J100" i="7"/>
  <c r="I99" i="7"/>
  <c r="H98" i="7"/>
  <c r="G97" i="7"/>
  <c r="L94" i="7"/>
  <c r="K93" i="7"/>
  <c r="J92" i="7"/>
  <c r="I91" i="7"/>
  <c r="H90" i="7"/>
  <c r="G89" i="7"/>
  <c r="L86" i="7"/>
  <c r="K85" i="7"/>
  <c r="J84" i="7"/>
  <c r="I83" i="7"/>
  <c r="H82" i="7"/>
  <c r="G81" i="7"/>
  <c r="L78" i="7"/>
  <c r="K77" i="7"/>
  <c r="K76" i="7"/>
  <c r="K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K17" i="7"/>
  <c r="L16" i="7"/>
  <c r="G521" i="7"/>
  <c r="L506" i="7"/>
  <c r="I502" i="7"/>
  <c r="G499" i="7"/>
  <c r="G491" i="7"/>
  <c r="L482" i="7"/>
  <c r="L474" i="7"/>
  <c r="H466" i="7"/>
  <c r="L457" i="7"/>
  <c r="K453" i="7"/>
  <c r="H450" i="7"/>
  <c r="H445" i="7"/>
  <c r="I442" i="7"/>
  <c r="K429" i="7"/>
  <c r="J426" i="7"/>
  <c r="H422" i="7"/>
  <c r="L414" i="7"/>
  <c r="K411" i="7"/>
  <c r="I401" i="7"/>
  <c r="G391" i="7"/>
  <c r="K388" i="7"/>
  <c r="I378" i="7"/>
  <c r="K371" i="7"/>
  <c r="I361" i="7"/>
  <c r="L357" i="7"/>
  <c r="G356" i="7"/>
  <c r="K339" i="7"/>
  <c r="K328" i="7"/>
  <c r="J323" i="7"/>
  <c r="K320" i="7"/>
  <c r="L317" i="7"/>
  <c r="H313" i="7"/>
  <c r="K310" i="7"/>
  <c r="L308" i="7"/>
  <c r="G306" i="7"/>
  <c r="I303" i="7"/>
  <c r="J300" i="7"/>
  <c r="J298" i="7"/>
  <c r="K291" i="7"/>
  <c r="I289" i="7"/>
  <c r="G283" i="7"/>
  <c r="H279" i="7"/>
  <c r="I275" i="7"/>
  <c r="K271" i="7"/>
  <c r="K267" i="7"/>
  <c r="H266" i="7"/>
  <c r="G264" i="7"/>
  <c r="H262" i="7"/>
  <c r="J260" i="7"/>
  <c r="I255" i="7"/>
  <c r="K253" i="7"/>
  <c r="H252" i="7"/>
  <c r="H250" i="7"/>
  <c r="K248" i="7"/>
  <c r="L246" i="7"/>
  <c r="I245" i="7"/>
  <c r="J238" i="7"/>
  <c r="G237" i="7"/>
  <c r="H235" i="7"/>
  <c r="K233" i="7"/>
  <c r="K231" i="7"/>
  <c r="H230" i="7"/>
  <c r="J228" i="7"/>
  <c r="I223" i="7"/>
  <c r="K221" i="7"/>
  <c r="H220" i="7"/>
  <c r="H218" i="7"/>
  <c r="K216" i="7"/>
  <c r="L214" i="7"/>
  <c r="I213" i="7"/>
  <c r="G212" i="7"/>
  <c r="J210" i="7"/>
  <c r="G209" i="7"/>
  <c r="L207" i="7"/>
  <c r="J206" i="7"/>
  <c r="H205" i="7"/>
  <c r="G204" i="7"/>
  <c r="L202" i="7"/>
  <c r="I201" i="7"/>
  <c r="G200" i="7"/>
  <c r="L198" i="7"/>
  <c r="J197" i="7"/>
  <c r="I196" i="7"/>
  <c r="G195" i="7"/>
  <c r="L193" i="7"/>
  <c r="J192" i="7"/>
  <c r="G191" i="7"/>
  <c r="L189" i="7"/>
  <c r="K188" i="7"/>
  <c r="I187" i="7"/>
  <c r="G186" i="7"/>
  <c r="L184" i="7"/>
  <c r="J183" i="7"/>
  <c r="H182" i="7"/>
  <c r="K179" i="7"/>
  <c r="I178" i="7"/>
  <c r="G177" i="7"/>
  <c r="L175" i="7"/>
  <c r="J174" i="7"/>
  <c r="H173" i="7"/>
  <c r="G172" i="7"/>
  <c r="L170" i="7"/>
  <c r="I169" i="7"/>
  <c r="G168" i="7"/>
  <c r="L166" i="7"/>
  <c r="J165" i="7"/>
  <c r="I164" i="7"/>
  <c r="H163" i="7"/>
  <c r="G162" i="7"/>
  <c r="L159" i="7"/>
  <c r="K158" i="7"/>
  <c r="J157" i="7"/>
  <c r="I156" i="7"/>
  <c r="H155" i="7"/>
  <c r="G154" i="7"/>
  <c r="L151" i="7"/>
  <c r="K150" i="7"/>
  <c r="J149" i="7"/>
  <c r="I148" i="7"/>
  <c r="H147" i="7"/>
  <c r="G146" i="7"/>
  <c r="L143" i="7"/>
  <c r="K142" i="7"/>
  <c r="J141" i="7"/>
  <c r="I140" i="7"/>
  <c r="H139" i="7"/>
  <c r="G138" i="7"/>
  <c r="L135" i="7"/>
  <c r="K134" i="7"/>
  <c r="J133" i="7"/>
  <c r="I132" i="7"/>
  <c r="H131" i="7"/>
  <c r="G130" i="7"/>
  <c r="L127" i="7"/>
  <c r="K126" i="7"/>
  <c r="J125" i="7"/>
  <c r="I124" i="7"/>
  <c r="H123" i="7"/>
  <c r="G122" i="7"/>
  <c r="L119" i="7"/>
  <c r="K118" i="7"/>
  <c r="J117" i="7"/>
  <c r="I116" i="7"/>
  <c r="H115" i="7"/>
  <c r="G114" i="7"/>
  <c r="L111" i="7"/>
  <c r="K110" i="7"/>
  <c r="J109" i="7"/>
  <c r="I108" i="7"/>
  <c r="H107" i="7"/>
  <c r="G106" i="7"/>
  <c r="L103" i="7"/>
  <c r="K102" i="7"/>
  <c r="J101" i="7"/>
  <c r="I100" i="7"/>
  <c r="H99" i="7"/>
  <c r="G98" i="7"/>
  <c r="L95" i="7"/>
  <c r="K94" i="7"/>
  <c r="J93" i="7"/>
  <c r="I92" i="7"/>
  <c r="H91" i="7"/>
  <c r="G90" i="7"/>
  <c r="L87" i="7"/>
  <c r="K86" i="7"/>
  <c r="J85" i="7"/>
  <c r="I84" i="7"/>
  <c r="H83" i="7"/>
  <c r="G82" i="7"/>
  <c r="L79" i="7"/>
  <c r="K78" i="7"/>
  <c r="J77" i="7"/>
  <c r="J76" i="7"/>
  <c r="J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J17" i="7"/>
  <c r="K16" i="7"/>
  <c r="L15" i="7"/>
  <c r="J525" i="7"/>
  <c r="L510" i="7"/>
  <c r="I494" i="7"/>
  <c r="I482" i="7"/>
  <c r="H474" i="7"/>
  <c r="K469" i="7"/>
  <c r="H461" i="7"/>
  <c r="H437" i="7"/>
  <c r="I429" i="7"/>
  <c r="H414" i="7"/>
  <c r="L407" i="7"/>
  <c r="G401" i="7"/>
  <c r="J397" i="7"/>
  <c r="L394" i="7"/>
  <c r="L384" i="7"/>
  <c r="G378" i="7"/>
  <c r="J374" i="7"/>
  <c r="L367" i="7"/>
  <c r="G364" i="7"/>
  <c r="H361" i="7"/>
  <c r="K357" i="7"/>
  <c r="L352" i="7"/>
  <c r="K347" i="7"/>
  <c r="L344" i="7"/>
  <c r="L341" i="7"/>
  <c r="L336" i="7"/>
  <c r="K333" i="7"/>
  <c r="K331" i="7"/>
  <c r="J328" i="7"/>
  <c r="J325" i="7"/>
  <c r="J320" i="7"/>
  <c r="K317" i="7"/>
  <c r="H315" i="7"/>
  <c r="G313" i="7"/>
  <c r="J310" i="7"/>
  <c r="I300" i="7"/>
  <c r="L295" i="7"/>
  <c r="J293" i="7"/>
  <c r="H289" i="7"/>
  <c r="L286" i="7"/>
  <c r="K284" i="7"/>
  <c r="L280" i="7"/>
  <c r="G279" i="7"/>
  <c r="L276" i="7"/>
  <c r="H275" i="7"/>
  <c r="H273" i="7"/>
  <c r="I271" i="7"/>
  <c r="I269" i="7"/>
  <c r="J267" i="7"/>
  <c r="I260" i="7"/>
  <c r="L258" i="7"/>
  <c r="L256" i="7"/>
  <c r="J253" i="7"/>
  <c r="G252" i="7"/>
  <c r="G250" i="7"/>
  <c r="J248" i="7"/>
  <c r="K246" i="7"/>
  <c r="H245" i="7"/>
  <c r="I243" i="7"/>
  <c r="L241" i="7"/>
  <c r="L239" i="7"/>
  <c r="I238" i="7"/>
  <c r="G235" i="7"/>
  <c r="G233" i="7"/>
  <c r="J231" i="7"/>
  <c r="I228" i="7"/>
  <c r="L226" i="7"/>
  <c r="L224" i="7"/>
  <c r="J221" i="7"/>
  <c r="G220" i="7"/>
  <c r="G218" i="7"/>
  <c r="J216" i="7"/>
  <c r="K214" i="7"/>
  <c r="H213" i="7"/>
  <c r="H210" i="7"/>
  <c r="K207" i="7"/>
  <c r="I206" i="7"/>
  <c r="G205" i="7"/>
  <c r="J202" i="7"/>
  <c r="H201" i="7"/>
  <c r="K198" i="7"/>
  <c r="I197" i="7"/>
  <c r="H196" i="7"/>
  <c r="K193" i="7"/>
  <c r="H192" i="7"/>
  <c r="K189" i="7"/>
  <c r="J188" i="7"/>
  <c r="H187" i="7"/>
  <c r="K184" i="7"/>
  <c r="I183" i="7"/>
  <c r="L180" i="7"/>
  <c r="J179" i="7"/>
  <c r="H178" i="7"/>
  <c r="K175" i="7"/>
  <c r="I174" i="7"/>
  <c r="G173" i="7"/>
  <c r="J170" i="7"/>
  <c r="H169" i="7"/>
  <c r="K166" i="7"/>
  <c r="I165" i="7"/>
  <c r="H164" i="7"/>
  <c r="G163" i="7"/>
  <c r="L160" i="7"/>
  <c r="K159" i="7"/>
  <c r="J158" i="7"/>
  <c r="I157" i="7"/>
  <c r="H156" i="7"/>
  <c r="G155" i="7"/>
  <c r="L152" i="7"/>
  <c r="K151" i="7"/>
  <c r="J150" i="7"/>
  <c r="I149" i="7"/>
  <c r="H148" i="7"/>
  <c r="G147" i="7"/>
  <c r="L144" i="7"/>
  <c r="K143" i="7"/>
  <c r="J142" i="7"/>
  <c r="I141" i="7"/>
  <c r="H140" i="7"/>
  <c r="G139" i="7"/>
  <c r="L136" i="7"/>
  <c r="K135" i="7"/>
  <c r="J134" i="7"/>
  <c r="I133" i="7"/>
  <c r="H132" i="7"/>
  <c r="G131" i="7"/>
  <c r="L128" i="7"/>
  <c r="K127" i="7"/>
  <c r="J126" i="7"/>
  <c r="I125" i="7"/>
  <c r="H124" i="7"/>
  <c r="G123" i="7"/>
  <c r="L120" i="7"/>
  <c r="K119" i="7"/>
  <c r="J118" i="7"/>
  <c r="I117" i="7"/>
  <c r="H116" i="7"/>
  <c r="G115" i="7"/>
  <c r="L112" i="7"/>
  <c r="K111" i="7"/>
  <c r="J110" i="7"/>
  <c r="I109" i="7"/>
  <c r="H108" i="7"/>
  <c r="G107" i="7"/>
  <c r="L104" i="7"/>
  <c r="K103" i="7"/>
  <c r="J102" i="7"/>
  <c r="I101" i="7"/>
  <c r="H100" i="7"/>
  <c r="G99" i="7"/>
  <c r="L96" i="7"/>
  <c r="K95" i="7"/>
  <c r="J94" i="7"/>
  <c r="I93" i="7"/>
  <c r="H92" i="7"/>
  <c r="K514" i="7"/>
  <c r="G510" i="7"/>
  <c r="K501" i="7"/>
  <c r="H494" i="7"/>
  <c r="L490" i="7"/>
  <c r="L485" i="7"/>
  <c r="K477" i="7"/>
  <c r="H469" i="7"/>
  <c r="J452" i="7"/>
  <c r="K444" i="7"/>
  <c r="J432" i="7"/>
  <c r="H429" i="7"/>
  <c r="G425" i="7"/>
  <c r="H421" i="7"/>
  <c r="I410" i="7"/>
  <c r="J407" i="7"/>
  <c r="K403" i="7"/>
  <c r="H397" i="7"/>
  <c r="L390" i="7"/>
  <c r="I387" i="7"/>
  <c r="J384" i="7"/>
  <c r="K380" i="7"/>
  <c r="H374" i="7"/>
  <c r="I370" i="7"/>
  <c r="K367" i="7"/>
  <c r="J357" i="7"/>
  <c r="G355" i="7"/>
  <c r="K352" i="7"/>
  <c r="L349" i="7"/>
  <c r="K344" i="7"/>
  <c r="I341" i="7"/>
  <c r="J338" i="7"/>
  <c r="H336" i="7"/>
  <c r="J333" i="7"/>
  <c r="H328" i="7"/>
  <c r="I325" i="7"/>
  <c r="L322" i="7"/>
  <c r="J317" i="7"/>
  <c r="G315" i="7"/>
  <c r="I310" i="7"/>
  <c r="K307" i="7"/>
  <c r="L302" i="7"/>
  <c r="H300" i="7"/>
  <c r="K297" i="7"/>
  <c r="K295" i="7"/>
  <c r="I293" i="7"/>
  <c r="L290" i="7"/>
  <c r="K286" i="7"/>
  <c r="J284" i="7"/>
  <c r="L282" i="7"/>
  <c r="J280" i="7"/>
  <c r="K276" i="7"/>
  <c r="G275" i="7"/>
  <c r="G273" i="7"/>
  <c r="H271" i="7"/>
  <c r="G269" i="7"/>
  <c r="I267" i="7"/>
  <c r="J265" i="7"/>
  <c r="L263" i="7"/>
  <c r="K261" i="7"/>
  <c r="H260" i="7"/>
  <c r="H258" i="7"/>
  <c r="K256" i="7"/>
  <c r="L254" i="7"/>
  <c r="I253" i="7"/>
  <c r="J246" i="7"/>
  <c r="G245" i="7"/>
  <c r="H243" i="7"/>
  <c r="K241" i="7"/>
  <c r="K239" i="7"/>
  <c r="H238" i="7"/>
  <c r="J236" i="7"/>
  <c r="I231" i="7"/>
  <c r="K229" i="7"/>
  <c r="H228" i="7"/>
  <c r="H226" i="7"/>
  <c r="K224" i="7"/>
  <c r="L222" i="7"/>
  <c r="I221" i="7"/>
  <c r="J214" i="7"/>
  <c r="G213" i="7"/>
  <c r="K211" i="7"/>
  <c r="G210" i="7"/>
  <c r="L208" i="7"/>
  <c r="J207" i="7"/>
  <c r="H206" i="7"/>
  <c r="K203" i="7"/>
  <c r="I202" i="7"/>
  <c r="G201" i="7"/>
  <c r="L199" i="7"/>
  <c r="J198" i="7"/>
  <c r="H197" i="7"/>
  <c r="G196" i="7"/>
  <c r="L194" i="7"/>
  <c r="I193" i="7"/>
  <c r="G192" i="7"/>
  <c r="L190" i="7"/>
  <c r="J189" i="7"/>
  <c r="I188" i="7"/>
  <c r="G187" i="7"/>
  <c r="L185" i="7"/>
  <c r="J184" i="7"/>
  <c r="G183" i="7"/>
  <c r="L181" i="7"/>
  <c r="K180" i="7"/>
  <c r="I179" i="7"/>
  <c r="G178" i="7"/>
  <c r="L176" i="7"/>
  <c r="J175" i="7"/>
  <c r="H174" i="7"/>
  <c r="K171" i="7"/>
  <c r="I170" i="7"/>
  <c r="G169" i="7"/>
  <c r="L167" i="7"/>
  <c r="J166" i="7"/>
  <c r="H165" i="7"/>
  <c r="G164" i="7"/>
  <c r="L161" i="7"/>
  <c r="K160" i="7"/>
  <c r="J159" i="7"/>
  <c r="I158" i="7"/>
  <c r="H157" i="7"/>
  <c r="G156" i="7"/>
  <c r="L153" i="7"/>
  <c r="K152" i="7"/>
  <c r="J151" i="7"/>
  <c r="I150" i="7"/>
  <c r="H149" i="7"/>
  <c r="G148" i="7"/>
  <c r="L145" i="7"/>
  <c r="K144" i="7"/>
  <c r="J143" i="7"/>
  <c r="I142" i="7"/>
  <c r="H141" i="7"/>
  <c r="G140" i="7"/>
  <c r="L137" i="7"/>
  <c r="K136" i="7"/>
  <c r="J135" i="7"/>
  <c r="I134" i="7"/>
  <c r="H133" i="7"/>
  <c r="G132" i="7"/>
  <c r="L129" i="7"/>
  <c r="K128" i="7"/>
  <c r="J127" i="7"/>
  <c r="I126" i="7"/>
  <c r="H125" i="7"/>
  <c r="G124" i="7"/>
  <c r="L121" i="7"/>
  <c r="K120" i="7"/>
  <c r="J119" i="7"/>
  <c r="I118" i="7"/>
  <c r="H117" i="7"/>
  <c r="G116" i="7"/>
  <c r="L113" i="7"/>
  <c r="K112" i="7"/>
  <c r="J111" i="7"/>
  <c r="I110" i="7"/>
  <c r="H109" i="7"/>
  <c r="G108" i="7"/>
  <c r="L105" i="7"/>
  <c r="K104" i="7"/>
  <c r="J103" i="7"/>
  <c r="I102" i="7"/>
  <c r="H101" i="7"/>
  <c r="G100" i="7"/>
  <c r="L97" i="7"/>
  <c r="K96" i="7"/>
  <c r="J95" i="7"/>
  <c r="I94" i="7"/>
  <c r="H93" i="7"/>
  <c r="L8" i="7"/>
  <c r="K9" i="7"/>
  <c r="J10" i="7"/>
  <c r="I11" i="7"/>
  <c r="H12" i="7"/>
  <c r="G13" i="7"/>
  <c r="G18" i="7"/>
  <c r="K19" i="7"/>
  <c r="G22" i="7"/>
  <c r="K23" i="7"/>
  <c r="G26" i="7"/>
  <c r="K27" i="7"/>
  <c r="G30" i="7"/>
  <c r="K31" i="7"/>
  <c r="G34" i="7"/>
  <c r="K35" i="7"/>
  <c r="G38" i="7"/>
  <c r="K39" i="7"/>
  <c r="G42" i="7"/>
  <c r="K43" i="7"/>
  <c r="G46" i="7"/>
  <c r="K47" i="7"/>
  <c r="G50" i="7"/>
  <c r="K51" i="7"/>
  <c r="G54" i="7"/>
  <c r="K55" i="7"/>
  <c r="G58" i="7"/>
  <c r="K59" i="7"/>
  <c r="G62" i="7"/>
  <c r="K63" i="7"/>
  <c r="G66" i="7"/>
  <c r="K67" i="7"/>
  <c r="G70" i="7"/>
  <c r="K71" i="7"/>
  <c r="G74" i="7"/>
  <c r="L75" i="7"/>
  <c r="I78" i="7"/>
  <c r="H81" i="7"/>
  <c r="K82" i="7"/>
  <c r="G84" i="7"/>
  <c r="L85" i="7"/>
  <c r="H87" i="7"/>
  <c r="J88" i="7"/>
  <c r="L89" i="7"/>
  <c r="J91" i="7"/>
  <c r="G93" i="7"/>
  <c r="I95" i="7"/>
  <c r="I97" i="7"/>
  <c r="G101" i="7"/>
  <c r="I103" i="7"/>
  <c r="I105" i="7"/>
  <c r="G109" i="7"/>
  <c r="I111" i="7"/>
  <c r="I113" i="7"/>
  <c r="G117" i="7"/>
  <c r="I119" i="7"/>
  <c r="I121" i="7"/>
  <c r="G125" i="7"/>
  <c r="I127" i="7"/>
  <c r="I129" i="7"/>
  <c r="G133" i="7"/>
  <c r="I135" i="7"/>
  <c r="I137" i="7"/>
  <c r="G141" i="7"/>
  <c r="I143" i="7"/>
  <c r="I145" i="7"/>
  <c r="G149" i="7"/>
  <c r="I151" i="7"/>
  <c r="I153" i="7"/>
  <c r="G157" i="7"/>
  <c r="I159" i="7"/>
  <c r="I161" i="7"/>
  <c r="G165" i="7"/>
  <c r="J167" i="7"/>
  <c r="L173" i="7"/>
  <c r="H176" i="7"/>
  <c r="L178" i="7"/>
  <c r="J180" i="7"/>
  <c r="K182" i="7"/>
  <c r="G185" i="7"/>
  <c r="I189" i="7"/>
  <c r="K191" i="7"/>
  <c r="G194" i="7"/>
  <c r="I198" i="7"/>
  <c r="K200" i="7"/>
  <c r="G203" i="7"/>
  <c r="L204" i="7"/>
  <c r="G207" i="7"/>
  <c r="I209" i="7"/>
  <c r="I214" i="7"/>
  <c r="G217" i="7"/>
  <c r="J222" i="7"/>
  <c r="K225" i="7"/>
  <c r="G228" i="7"/>
  <c r="K230" i="7"/>
  <c r="I236" i="7"/>
  <c r="I239" i="7"/>
  <c r="H242" i="7"/>
  <c r="K247" i="7"/>
  <c r="H253" i="7"/>
  <c r="L255" i="7"/>
  <c r="I261" i="7"/>
  <c r="K270" i="7"/>
  <c r="I274" i="7"/>
  <c r="L277" i="7"/>
  <c r="I280" i="7"/>
  <c r="J290" i="7"/>
  <c r="J294" i="7"/>
  <c r="I297" i="7"/>
  <c r="J301" i="7"/>
  <c r="G309" i="7"/>
  <c r="H312" i="7"/>
  <c r="J316" i="7"/>
  <c r="H324" i="7"/>
  <c r="H340" i="7"/>
  <c r="J348" i="7"/>
  <c r="K351" i="7"/>
  <c r="I356" i="7"/>
  <c r="H370" i="7"/>
  <c r="H389" i="7"/>
  <c r="H393" i="7"/>
  <c r="G402" i="7"/>
  <c r="H406" i="7"/>
  <c r="H416" i="7"/>
  <c r="H432" i="7"/>
  <c r="L442" i="7"/>
  <c r="K447" i="7"/>
  <c r="K463" i="7"/>
  <c r="G496" i="7"/>
  <c r="H517" i="7"/>
  <c r="L9" i="7"/>
  <c r="K10" i="7"/>
  <c r="J11" i="7"/>
  <c r="I12" i="7"/>
  <c r="H13" i="7"/>
  <c r="H18" i="7"/>
  <c r="L19" i="7"/>
  <c r="H22" i="7"/>
  <c r="L23" i="7"/>
  <c r="H26" i="7"/>
  <c r="L27" i="7"/>
  <c r="H30" i="7"/>
  <c r="L31" i="7"/>
  <c r="H34" i="7"/>
  <c r="L35" i="7"/>
  <c r="H38" i="7"/>
  <c r="L39" i="7"/>
  <c r="H42" i="7"/>
  <c r="L43" i="7"/>
  <c r="H46" i="7"/>
  <c r="L47" i="7"/>
  <c r="H50" i="7"/>
  <c r="L51" i="7"/>
  <c r="H54" i="7"/>
  <c r="L55" i="7"/>
  <c r="H58" i="7"/>
  <c r="L59" i="7"/>
  <c r="H62" i="7"/>
  <c r="L63" i="7"/>
  <c r="H66" i="7"/>
  <c r="L67" i="7"/>
  <c r="H70" i="7"/>
  <c r="L71" i="7"/>
  <c r="H74" i="7"/>
  <c r="G77" i="7"/>
  <c r="J78" i="7"/>
  <c r="G80" i="7"/>
  <c r="I81" i="7"/>
  <c r="L82" i="7"/>
  <c r="H84" i="7"/>
  <c r="I87" i="7"/>
  <c r="K88" i="7"/>
  <c r="K91" i="7"/>
  <c r="L93" i="7"/>
  <c r="J97" i="7"/>
  <c r="J99" i="7"/>
  <c r="L101" i="7"/>
  <c r="J105" i="7"/>
  <c r="J107" i="7"/>
  <c r="L109" i="7"/>
  <c r="J113" i="7"/>
  <c r="J115" i="7"/>
  <c r="L117" i="7"/>
  <c r="J121" i="7"/>
  <c r="J123" i="7"/>
  <c r="L125" i="7"/>
  <c r="J129" i="7"/>
  <c r="J131" i="7"/>
  <c r="L133" i="7"/>
  <c r="J137" i="7"/>
  <c r="J139" i="7"/>
  <c r="L141" i="7"/>
  <c r="J145" i="7"/>
  <c r="J147" i="7"/>
  <c r="L149" i="7"/>
  <c r="J153" i="7"/>
  <c r="J155" i="7"/>
  <c r="L157" i="7"/>
  <c r="J161" i="7"/>
  <c r="J163" i="7"/>
  <c r="L165" i="7"/>
  <c r="K167" i="7"/>
  <c r="G170" i="7"/>
  <c r="I172" i="7"/>
  <c r="J176" i="7"/>
  <c r="L182" i="7"/>
  <c r="H185" i="7"/>
  <c r="K187" i="7"/>
  <c r="L191" i="7"/>
  <c r="H194" i="7"/>
  <c r="K196" i="7"/>
  <c r="L200" i="7"/>
  <c r="H203" i="7"/>
  <c r="I207" i="7"/>
  <c r="K209" i="7"/>
  <c r="I212" i="7"/>
  <c r="K217" i="7"/>
  <c r="J220" i="7"/>
  <c r="K222" i="7"/>
  <c r="L225" i="7"/>
  <c r="L230" i="7"/>
  <c r="G234" i="7"/>
  <c r="J239" i="7"/>
  <c r="L242" i="7"/>
  <c r="K245" i="7"/>
  <c r="L247" i="7"/>
  <c r="G251" i="7"/>
  <c r="H259" i="7"/>
  <c r="J261" i="7"/>
  <c r="G265" i="7"/>
  <c r="J274" i="7"/>
  <c r="H284" i="7"/>
  <c r="K290" i="7"/>
  <c r="K294" i="7"/>
  <c r="K301" i="7"/>
  <c r="H309" i="7"/>
  <c r="K316" i="7"/>
  <c r="L329" i="7"/>
  <c r="H333" i="7"/>
  <c r="J356" i="7"/>
  <c r="H366" i="7"/>
  <c r="J376" i="7"/>
  <c r="I380" i="7"/>
  <c r="I389" i="7"/>
  <c r="I393" i="7"/>
  <c r="I412" i="7"/>
  <c r="J416" i="7"/>
  <c r="G427" i="7"/>
  <c r="L458" i="7"/>
  <c r="K496" i="7"/>
  <c r="H501" i="7"/>
  <c r="G19" i="2"/>
  <c r="H6" i="7"/>
  <c r="G7" i="7"/>
  <c r="L10" i="7"/>
  <c r="K11" i="7"/>
  <c r="J12" i="7"/>
  <c r="I13" i="7"/>
  <c r="H14" i="7"/>
  <c r="G15" i="7"/>
  <c r="G16" i="7"/>
  <c r="H17" i="7"/>
  <c r="K18" i="7"/>
  <c r="G21" i="7"/>
  <c r="K22" i="7"/>
  <c r="G25" i="7"/>
  <c r="K26" i="7"/>
  <c r="G29" i="7"/>
  <c r="K30" i="7"/>
  <c r="G33" i="7"/>
  <c r="K34" i="7"/>
  <c r="G37" i="7"/>
  <c r="K38" i="7"/>
  <c r="G41" i="7"/>
  <c r="K42" i="7"/>
  <c r="G45" i="7"/>
  <c r="K46" i="7"/>
  <c r="G49" i="7"/>
  <c r="K50" i="7"/>
  <c r="G53" i="7"/>
  <c r="K54" i="7"/>
  <c r="G57" i="7"/>
  <c r="K58" i="7"/>
  <c r="G61" i="7"/>
  <c r="K62" i="7"/>
  <c r="G65" i="7"/>
  <c r="K66" i="7"/>
  <c r="G69" i="7"/>
  <c r="K70" i="7"/>
  <c r="G73" i="7"/>
  <c r="K74" i="7"/>
  <c r="H77" i="7"/>
  <c r="H80" i="7"/>
  <c r="J81" i="7"/>
  <c r="K84" i="7"/>
  <c r="G86" i="7"/>
  <c r="J87" i="7"/>
  <c r="L88" i="7"/>
  <c r="I90" i="7"/>
  <c r="L91" i="7"/>
  <c r="G96" i="7"/>
  <c r="K97" i="7"/>
  <c r="K99" i="7"/>
  <c r="G104" i="7"/>
  <c r="K105" i="7"/>
  <c r="K107" i="7"/>
  <c r="G112" i="7"/>
  <c r="K113" i="7"/>
  <c r="K115" i="7"/>
  <c r="G120" i="7"/>
  <c r="K121" i="7"/>
  <c r="K123" i="7"/>
  <c r="G128" i="7"/>
  <c r="K129" i="7"/>
  <c r="K131" i="7"/>
  <c r="G136" i="7"/>
  <c r="K137" i="7"/>
  <c r="K139" i="7"/>
  <c r="G144" i="7"/>
  <c r="K145" i="7"/>
  <c r="K147" i="7"/>
  <c r="G152" i="7"/>
  <c r="K153" i="7"/>
  <c r="K155" i="7"/>
  <c r="G160" i="7"/>
  <c r="K161" i="7"/>
  <c r="K163" i="7"/>
  <c r="H170" i="7"/>
  <c r="J172" i="7"/>
  <c r="L174" i="7"/>
  <c r="K176" i="7"/>
  <c r="G179" i="7"/>
  <c r="H181" i="7"/>
  <c r="I185" i="7"/>
  <c r="H190" i="7"/>
  <c r="I194" i="7"/>
  <c r="L196" i="7"/>
  <c r="G199" i="7"/>
  <c r="I203" i="7"/>
  <c r="J205" i="7"/>
  <c r="L209" i="7"/>
  <c r="J212" i="7"/>
  <c r="I215" i="7"/>
  <c r="L217" i="7"/>
  <c r="G229" i="7"/>
  <c r="H234" i="7"/>
  <c r="I237" i="7"/>
  <c r="H251" i="7"/>
  <c r="H254" i="7"/>
  <c r="J256" i="7"/>
  <c r="I259" i="7"/>
  <c r="H265" i="7"/>
  <c r="K268" i="7"/>
  <c r="G278" i="7"/>
  <c r="K281" i="7"/>
  <c r="I284" i="7"/>
  <c r="G288" i="7"/>
  <c r="L294" i="7"/>
  <c r="I306" i="7"/>
  <c r="L313" i="7"/>
  <c r="H325" i="7"/>
  <c r="I333" i="7"/>
  <c r="G338" i="7"/>
  <c r="H341" i="7"/>
  <c r="J349" i="7"/>
  <c r="I366" i="7"/>
  <c r="K376" i="7"/>
  <c r="J380" i="7"/>
  <c r="J399" i="7"/>
  <c r="I403" i="7"/>
  <c r="J412" i="7"/>
  <c r="K416" i="7"/>
  <c r="J439" i="7"/>
  <c r="G464" i="7"/>
  <c r="G469" i="7"/>
  <c r="K480" i="7"/>
  <c r="K485" i="7"/>
  <c r="I6" i="7"/>
  <c r="H7" i="7"/>
  <c r="L11" i="7"/>
  <c r="K12" i="7"/>
  <c r="J13" i="7"/>
  <c r="I14" i="7"/>
  <c r="H15" i="7"/>
  <c r="H16" i="7"/>
  <c r="I17" i="7"/>
  <c r="L18" i="7"/>
  <c r="H21" i="7"/>
  <c r="L22" i="7"/>
  <c r="H25" i="7"/>
  <c r="L26" i="7"/>
  <c r="H29" i="7"/>
  <c r="L30" i="7"/>
  <c r="H33" i="7"/>
  <c r="L34" i="7"/>
  <c r="H37" i="7"/>
  <c r="H41" i="7"/>
  <c r="L42" i="7"/>
  <c r="H45" i="7"/>
  <c r="L46" i="7"/>
  <c r="H49" i="7"/>
  <c r="L50" i="7"/>
  <c r="H53" i="7"/>
  <c r="L54" i="7"/>
  <c r="H57" i="7"/>
  <c r="L58" i="7"/>
  <c r="H61" i="7"/>
  <c r="L62" i="7"/>
  <c r="H65" i="7"/>
  <c r="L66" i="7"/>
  <c r="H69" i="7"/>
  <c r="L70" i="7"/>
  <c r="H73" i="7"/>
  <c r="L74" i="7"/>
  <c r="G76" i="7"/>
  <c r="I77" i="7"/>
  <c r="G79" i="7"/>
  <c r="I80" i="7"/>
  <c r="K81" i="7"/>
  <c r="G83" i="7"/>
  <c r="L84" i="7"/>
  <c r="H86" i="7"/>
  <c r="K87" i="7"/>
  <c r="J90" i="7"/>
  <c r="G94" i="7"/>
  <c r="H96" i="7"/>
  <c r="L99" i="7"/>
  <c r="G102" i="7"/>
  <c r="H104" i="7"/>
  <c r="L107" i="7"/>
  <c r="G110" i="7"/>
  <c r="H112" i="7"/>
  <c r="L115" i="7"/>
  <c r="G118" i="7"/>
  <c r="H120" i="7"/>
  <c r="L123" i="7"/>
  <c r="G126" i="7"/>
  <c r="H128" i="7"/>
  <c r="L131" i="7"/>
  <c r="G134" i="7"/>
  <c r="H136" i="7"/>
  <c r="L139" i="7"/>
  <c r="G142" i="7"/>
  <c r="H144" i="7"/>
  <c r="L147" i="7"/>
  <c r="G150" i="7"/>
  <c r="H152" i="7"/>
  <c r="L155" i="7"/>
  <c r="G158" i="7"/>
  <c r="H160" i="7"/>
  <c r="L163" i="7"/>
  <c r="H166" i="7"/>
  <c r="J168" i="7"/>
  <c r="K172" i="7"/>
  <c r="H179" i="7"/>
  <c r="I181" i="7"/>
  <c r="L183" i="7"/>
  <c r="K185" i="7"/>
  <c r="G188" i="7"/>
  <c r="I190" i="7"/>
  <c r="L192" i="7"/>
  <c r="J194" i="7"/>
  <c r="I199" i="7"/>
  <c r="L201" i="7"/>
  <c r="J203" i="7"/>
  <c r="K205" i="7"/>
  <c r="G208" i="7"/>
  <c r="L212" i="7"/>
  <c r="J215" i="7"/>
  <c r="G221" i="7"/>
  <c r="K223" i="7"/>
  <c r="G226" i="7"/>
  <c r="H229" i="7"/>
  <c r="L234" i="7"/>
  <c r="J237" i="7"/>
  <c r="K240" i="7"/>
  <c r="G243" i="7"/>
  <c r="H246" i="7"/>
  <c r="I251" i="7"/>
  <c r="I254" i="7"/>
  <c r="K262" i="7"/>
  <c r="I265" i="7"/>
  <c r="L268" i="7"/>
  <c r="J272" i="7"/>
  <c r="K275" i="7"/>
  <c r="H278" i="7"/>
  <c r="H288" i="7"/>
  <c r="G299" i="7"/>
  <c r="H310" i="7"/>
  <c r="G322" i="7"/>
  <c r="I330" i="7"/>
  <c r="H338" i="7"/>
  <c r="H346" i="7"/>
  <c r="K349" i="7"/>
  <c r="I357" i="7"/>
  <c r="G372" i="7"/>
  <c r="L376" i="7"/>
  <c r="L386" i="7"/>
  <c r="K390" i="7"/>
  <c r="K399" i="7"/>
  <c r="J403" i="7"/>
  <c r="K439" i="7"/>
  <c r="H444" i="7"/>
  <c r="I455" i="7"/>
  <c r="K464" i="7"/>
  <c r="L480" i="7"/>
  <c r="H497" i="7"/>
  <c r="K507" i="7"/>
  <c r="G514" i="7"/>
  <c r="E525" i="13"/>
  <c r="E517" i="13"/>
  <c r="E509" i="13"/>
  <c r="E501" i="13"/>
  <c r="E493" i="13"/>
  <c r="E485" i="13"/>
  <c r="E477" i="13"/>
  <c r="E469" i="13"/>
  <c r="E461" i="13"/>
  <c r="E453" i="13"/>
  <c r="E445" i="13"/>
  <c r="E437" i="13"/>
  <c r="E429" i="13"/>
  <c r="E421" i="13"/>
  <c r="E413" i="13"/>
  <c r="E405" i="13"/>
  <c r="E397" i="13"/>
  <c r="E389" i="13"/>
  <c r="E381" i="13"/>
  <c r="E373" i="13"/>
  <c r="E365" i="13"/>
  <c r="E357" i="13"/>
  <c r="E349" i="13"/>
  <c r="E341" i="13"/>
  <c r="E333" i="13"/>
  <c r="E325" i="13"/>
  <c r="E317" i="13"/>
  <c r="E309" i="13"/>
  <c r="E522" i="13"/>
  <c r="E514" i="13"/>
  <c r="E506" i="13"/>
  <c r="E498" i="13"/>
  <c r="E490" i="13"/>
  <c r="E482" i="13"/>
  <c r="E474" i="13"/>
  <c r="E466" i="13"/>
  <c r="E458" i="13"/>
  <c r="E450" i="13"/>
  <c r="E442" i="13"/>
  <c r="E434" i="13"/>
  <c r="E426" i="13"/>
  <c r="E418" i="13"/>
  <c r="E410" i="13"/>
  <c r="E402" i="13"/>
  <c r="E394" i="13"/>
  <c r="E386" i="13"/>
  <c r="E378" i="13"/>
  <c r="E370" i="13"/>
  <c r="E362" i="13"/>
  <c r="E354" i="13"/>
  <c r="E346" i="13"/>
  <c r="E338" i="13"/>
  <c r="E330" i="13"/>
  <c r="E322" i="13"/>
  <c r="E314" i="13"/>
  <c r="E306" i="13"/>
  <c r="E523" i="13"/>
  <c r="E519" i="13"/>
  <c r="E505" i="13"/>
  <c r="E491" i="13"/>
  <c r="E487" i="13"/>
  <c r="E473" i="13"/>
  <c r="E459" i="13"/>
  <c r="E455" i="13"/>
  <c r="E441" i="13"/>
  <c r="E427" i="13"/>
  <c r="E423" i="13"/>
  <c r="E409" i="13"/>
  <c r="E395" i="13"/>
  <c r="E391" i="13"/>
  <c r="E377" i="13"/>
  <c r="E363" i="13"/>
  <c r="E359" i="13"/>
  <c r="E345" i="13"/>
  <c r="E331" i="13"/>
  <c r="E327" i="13"/>
  <c r="E313" i="13"/>
  <c r="E297" i="13"/>
  <c r="E289" i="13"/>
  <c r="E281" i="13"/>
  <c r="E273" i="13"/>
  <c r="E265" i="13"/>
  <c r="E257" i="13"/>
  <c r="E249" i="13"/>
  <c r="E241" i="13"/>
  <c r="E233" i="13"/>
  <c r="E526" i="13"/>
  <c r="E512" i="13"/>
  <c r="E508" i="13"/>
  <c r="E494" i="13"/>
  <c r="E480" i="13"/>
  <c r="E476" i="13"/>
  <c r="E462" i="13"/>
  <c r="E448" i="13"/>
  <c r="E444" i="13"/>
  <c r="E430" i="13"/>
  <c r="E416" i="13"/>
  <c r="E412" i="13"/>
  <c r="E398" i="13"/>
  <c r="E384" i="13"/>
  <c r="E380" i="13"/>
  <c r="E366" i="13"/>
  <c r="E352" i="13"/>
  <c r="E348" i="13"/>
  <c r="E334" i="13"/>
  <c r="E320" i="13"/>
  <c r="E316" i="13"/>
  <c r="E302" i="13"/>
  <c r="E515" i="13"/>
  <c r="E511" i="13"/>
  <c r="E497" i="13"/>
  <c r="E483" i="13"/>
  <c r="E479" i="13"/>
  <c r="E465" i="13"/>
  <c r="E451" i="13"/>
  <c r="E447" i="13"/>
  <c r="E433" i="13"/>
  <c r="E419" i="13"/>
  <c r="E415" i="13"/>
  <c r="E401" i="13"/>
  <c r="E387" i="13"/>
  <c r="E383" i="13"/>
  <c r="E369" i="13"/>
  <c r="E355" i="13"/>
  <c r="E351" i="13"/>
  <c r="E337" i="13"/>
  <c r="E323" i="13"/>
  <c r="E319" i="13"/>
  <c r="E305" i="13"/>
  <c r="E299" i="13"/>
  <c r="E524" i="13"/>
  <c r="E510" i="13"/>
  <c r="E496" i="13"/>
  <c r="E492" i="13"/>
  <c r="E478" i="13"/>
  <c r="E464" i="13"/>
  <c r="E460" i="13"/>
  <c r="E446" i="13"/>
  <c r="E432" i="13"/>
  <c r="E428" i="13"/>
  <c r="E414" i="13"/>
  <c r="E400" i="13"/>
  <c r="E396" i="13"/>
  <c r="E382" i="13"/>
  <c r="E368" i="13"/>
  <c r="E364" i="13"/>
  <c r="E350" i="13"/>
  <c r="E336" i="13"/>
  <c r="E332" i="13"/>
  <c r="E318" i="13"/>
  <c r="E304" i="13"/>
  <c r="E298" i="13"/>
  <c r="E518" i="13"/>
  <c r="E504" i="13"/>
  <c r="E468" i="13"/>
  <c r="E454" i="13"/>
  <c r="E440" i="13"/>
  <c r="E404" i="13"/>
  <c r="E390" i="13"/>
  <c r="E376" i="13"/>
  <c r="E340" i="13"/>
  <c r="E326" i="13"/>
  <c r="E312" i="13"/>
  <c r="E270" i="13"/>
  <c r="E250" i="13"/>
  <c r="E247" i="13"/>
  <c r="E244" i="13"/>
  <c r="E238" i="13"/>
  <c r="E227" i="13"/>
  <c r="E219" i="13"/>
  <c r="E211" i="13"/>
  <c r="E203" i="13"/>
  <c r="E195" i="13"/>
  <c r="E187" i="13"/>
  <c r="E179" i="13"/>
  <c r="E171" i="13"/>
  <c r="E163" i="13"/>
  <c r="E155" i="13"/>
  <c r="E147" i="13"/>
  <c r="E139" i="13"/>
  <c r="E131" i="13"/>
  <c r="E123" i="13"/>
  <c r="E115" i="13"/>
  <c r="E107" i="13"/>
  <c r="E99" i="13"/>
  <c r="E91" i="13"/>
  <c r="E83" i="13"/>
  <c r="E75" i="13"/>
  <c r="E67" i="13"/>
  <c r="E59" i="13"/>
  <c r="E51" i="13"/>
  <c r="E43" i="13"/>
  <c r="E503" i="13"/>
  <c r="E489" i="13"/>
  <c r="E475" i="13"/>
  <c r="E439" i="13"/>
  <c r="E425" i="13"/>
  <c r="E411" i="13"/>
  <c r="E375" i="13"/>
  <c r="E361" i="13"/>
  <c r="E347" i="13"/>
  <c r="E311" i="13"/>
  <c r="E294" i="13"/>
  <c r="E291" i="13"/>
  <c r="E288" i="13"/>
  <c r="E285" i="13"/>
  <c r="E282" i="13"/>
  <c r="E279" i="13"/>
  <c r="E276" i="13"/>
  <c r="E267" i="13"/>
  <c r="E264" i="13"/>
  <c r="E261" i="13"/>
  <c r="E235" i="13"/>
  <c r="E232" i="13"/>
  <c r="E224" i="13"/>
  <c r="E216" i="13"/>
  <c r="E208" i="13"/>
  <c r="E200" i="13"/>
  <c r="E192" i="13"/>
  <c r="E184" i="13"/>
  <c r="E176" i="13"/>
  <c r="E168" i="13"/>
  <c r="E160" i="13"/>
  <c r="E152" i="13"/>
  <c r="E144" i="13"/>
  <c r="E136" i="13"/>
  <c r="E128" i="13"/>
  <c r="E120" i="13"/>
  <c r="E112" i="13"/>
  <c r="E104" i="13"/>
  <c r="E96" i="13"/>
  <c r="E495" i="13"/>
  <c r="E481" i="13"/>
  <c r="E467" i="13"/>
  <c r="E431" i="13"/>
  <c r="E417" i="13"/>
  <c r="E403" i="13"/>
  <c r="E367" i="13"/>
  <c r="E353" i="13"/>
  <c r="E339" i="13"/>
  <c r="E303" i="13"/>
  <c r="E258" i="13"/>
  <c r="E255" i="13"/>
  <c r="E252" i="13"/>
  <c r="E246" i="13"/>
  <c r="E229" i="13"/>
  <c r="E221" i="13"/>
  <c r="E213" i="13"/>
  <c r="E205" i="13"/>
  <c r="E197" i="13"/>
  <c r="E189" i="13"/>
  <c r="E181" i="13"/>
  <c r="E173" i="13"/>
  <c r="E165" i="13"/>
  <c r="E157" i="13"/>
  <c r="E149" i="13"/>
  <c r="E141" i="13"/>
  <c r="E133" i="13"/>
  <c r="E125" i="13"/>
  <c r="E117" i="13"/>
  <c r="E109" i="13"/>
  <c r="E101" i="13"/>
  <c r="E93" i="13"/>
  <c r="E521" i="13"/>
  <c r="E507" i="13"/>
  <c r="E471" i="13"/>
  <c r="E457" i="13"/>
  <c r="E443" i="13"/>
  <c r="E407" i="13"/>
  <c r="E393" i="13"/>
  <c r="E379" i="13"/>
  <c r="E343" i="13"/>
  <c r="E329" i="13"/>
  <c r="E315" i="13"/>
  <c r="E301" i="13"/>
  <c r="E251" i="13"/>
  <c r="E248" i="13"/>
  <c r="E245" i="13"/>
  <c r="E228" i="13"/>
  <c r="E220" i="13"/>
  <c r="E212" i="13"/>
  <c r="E204" i="13"/>
  <c r="E196" i="13"/>
  <c r="E188" i="13"/>
  <c r="E180" i="13"/>
  <c r="E172" i="13"/>
  <c r="E164" i="13"/>
  <c r="E156" i="13"/>
  <c r="E148" i="13"/>
  <c r="E140" i="13"/>
  <c r="E436" i="13"/>
  <c r="E422" i="13"/>
  <c r="E408" i="13"/>
  <c r="E308" i="13"/>
  <c r="E296" i="13"/>
  <c r="E290" i="13"/>
  <c r="E284" i="13"/>
  <c r="E259" i="13"/>
  <c r="E137" i="13"/>
  <c r="E119" i="13"/>
  <c r="E105" i="13"/>
  <c r="E85" i="13"/>
  <c r="E82" i="13"/>
  <c r="E79" i="13"/>
  <c r="E53" i="13"/>
  <c r="E50" i="13"/>
  <c r="E47" i="13"/>
  <c r="E36" i="13"/>
  <c r="E28" i="13"/>
  <c r="E20" i="13"/>
  <c r="E463" i="13"/>
  <c r="E449" i="13"/>
  <c r="E435" i="13"/>
  <c r="E335" i="13"/>
  <c r="E321" i="13"/>
  <c r="E307" i="13"/>
  <c r="E283" i="13"/>
  <c r="E277" i="13"/>
  <c r="E271" i="13"/>
  <c r="E266" i="13"/>
  <c r="E262" i="13"/>
  <c r="E254" i="13"/>
  <c r="E236" i="13"/>
  <c r="E126" i="13"/>
  <c r="E122" i="13"/>
  <c r="E108" i="13"/>
  <c r="E94" i="13"/>
  <c r="E76" i="13"/>
  <c r="E73" i="13"/>
  <c r="E70" i="13"/>
  <c r="E64" i="13"/>
  <c r="E44" i="13"/>
  <c r="E41" i="13"/>
  <c r="E33" i="13"/>
  <c r="E25" i="13"/>
  <c r="E17" i="13"/>
  <c r="E15" i="13"/>
  <c r="E13" i="13"/>
  <c r="E11" i="13"/>
  <c r="E9" i="13"/>
  <c r="E7" i="13"/>
  <c r="E520" i="13"/>
  <c r="E420" i="13"/>
  <c r="E406" i="13"/>
  <c r="E392" i="13"/>
  <c r="E295" i="13"/>
  <c r="E240" i="13"/>
  <c r="E129" i="13"/>
  <c r="E111" i="13"/>
  <c r="E97" i="13"/>
  <c r="E90" i="13"/>
  <c r="E87" i="13"/>
  <c r="E61" i="13"/>
  <c r="E58" i="13"/>
  <c r="E55" i="13"/>
  <c r="E38" i="13"/>
  <c r="E30" i="13"/>
  <c r="E22" i="13"/>
  <c r="E516" i="13"/>
  <c r="E502" i="13"/>
  <c r="E488" i="13"/>
  <c r="E388" i="13"/>
  <c r="E374" i="13"/>
  <c r="E360" i="13"/>
  <c r="E275" i="13"/>
  <c r="E269" i="13"/>
  <c r="E231" i="13"/>
  <c r="E223" i="13"/>
  <c r="E215" i="13"/>
  <c r="E207" i="13"/>
  <c r="E199" i="13"/>
  <c r="E191" i="13"/>
  <c r="E183" i="13"/>
  <c r="E175" i="13"/>
  <c r="E167" i="13"/>
  <c r="E159" i="13"/>
  <c r="E151" i="13"/>
  <c r="E143" i="13"/>
  <c r="E132" i="13"/>
  <c r="E118" i="13"/>
  <c r="E114" i="13"/>
  <c r="E100" i="13"/>
  <c r="E84" i="13"/>
  <c r="E81" i="13"/>
  <c r="E78" i="13"/>
  <c r="E72" i="13"/>
  <c r="E52" i="13"/>
  <c r="E49" i="13"/>
  <c r="E46" i="13"/>
  <c r="E35" i="13"/>
  <c r="E27" i="13"/>
  <c r="E19" i="13"/>
  <c r="E500" i="13"/>
  <c r="E486" i="13"/>
  <c r="E472" i="13"/>
  <c r="E372" i="13"/>
  <c r="E358" i="13"/>
  <c r="E344" i="13"/>
  <c r="E293" i="13"/>
  <c r="E287" i="13"/>
  <c r="E253" i="13"/>
  <c r="E239" i="13"/>
  <c r="E135" i="13"/>
  <c r="E121" i="13"/>
  <c r="E103" i="13"/>
  <c r="E69" i="13"/>
  <c r="E66" i="13"/>
  <c r="E63" i="13"/>
  <c r="E40" i="13"/>
  <c r="E32" i="13"/>
  <c r="E24" i="13"/>
  <c r="E513" i="13"/>
  <c r="E499" i="13"/>
  <c r="E399" i="13"/>
  <c r="E385" i="13"/>
  <c r="E371" i="13"/>
  <c r="E286" i="13"/>
  <c r="E280" i="13"/>
  <c r="E274" i="13"/>
  <c r="E268" i="13"/>
  <c r="E260" i="13"/>
  <c r="E243" i="13"/>
  <c r="E234" i="13"/>
  <c r="E226" i="13"/>
  <c r="E218" i="13"/>
  <c r="E210" i="13"/>
  <c r="E202" i="13"/>
  <c r="E194" i="13"/>
  <c r="E186" i="13"/>
  <c r="E178" i="13"/>
  <c r="E170" i="13"/>
  <c r="E162" i="13"/>
  <c r="E154" i="13"/>
  <c r="E146" i="13"/>
  <c r="E138" i="13"/>
  <c r="E124" i="13"/>
  <c r="E110" i="13"/>
  <c r="E106" i="13"/>
  <c r="E92" i="13"/>
  <c r="E89" i="13"/>
  <c r="E86" i="13"/>
  <c r="E80" i="13"/>
  <c r="E60" i="13"/>
  <c r="E57" i="13"/>
  <c r="E54" i="13"/>
  <c r="E48" i="13"/>
  <c r="E37" i="13"/>
  <c r="E29" i="13"/>
  <c r="E21" i="13"/>
  <c r="E16" i="13"/>
  <c r="E14" i="13"/>
  <c r="E12" i="13"/>
  <c r="E10" i="13"/>
  <c r="E8" i="13"/>
  <c r="E6" i="13"/>
  <c r="E527" i="13"/>
  <c r="J12" i="13" s="1"/>
  <c r="E484" i="13"/>
  <c r="E470" i="13"/>
  <c r="E456" i="13"/>
  <c r="E356" i="13"/>
  <c r="E342" i="13"/>
  <c r="E328" i="13"/>
  <c r="E300" i="13"/>
  <c r="E292" i="13"/>
  <c r="E256" i="13"/>
  <c r="E230" i="13"/>
  <c r="E222" i="13"/>
  <c r="E214" i="13"/>
  <c r="E206" i="13"/>
  <c r="E198" i="13"/>
  <c r="E190" i="13"/>
  <c r="E182" i="13"/>
  <c r="E174" i="13"/>
  <c r="E166" i="13"/>
  <c r="E158" i="13"/>
  <c r="E150" i="13"/>
  <c r="E142" i="13"/>
  <c r="E127" i="13"/>
  <c r="E113" i="13"/>
  <c r="E95" i="13"/>
  <c r="E77" i="13"/>
  <c r="E74" i="13"/>
  <c r="E71" i="13"/>
  <c r="E45" i="13"/>
  <c r="E42" i="13"/>
  <c r="E34" i="13"/>
  <c r="E26" i="13"/>
  <c r="E18" i="13"/>
  <c r="E452" i="13"/>
  <c r="E438" i="13"/>
  <c r="E424" i="13"/>
  <c r="E324" i="13"/>
  <c r="E310" i="13"/>
  <c r="E278" i="13"/>
  <c r="E272" i="13"/>
  <c r="E263" i="13"/>
  <c r="E242" i="13"/>
  <c r="E237" i="13"/>
  <c r="E225" i="13"/>
  <c r="E217" i="13"/>
  <c r="E209" i="13"/>
  <c r="E201" i="13"/>
  <c r="E193" i="13"/>
  <c r="E185" i="13"/>
  <c r="E177" i="13"/>
  <c r="E169" i="13"/>
  <c r="E161" i="13"/>
  <c r="E153" i="13"/>
  <c r="E145" i="13"/>
  <c r="E134" i="13"/>
  <c r="E130" i="13"/>
  <c r="E116" i="13"/>
  <c r="E102" i="13"/>
  <c r="E98" i="13"/>
  <c r="E88" i="13"/>
  <c r="E68" i="13"/>
  <c r="E65" i="13"/>
  <c r="E62" i="13"/>
  <c r="E56" i="13"/>
  <c r="E39" i="13"/>
  <c r="E31" i="13"/>
  <c r="E23" i="13"/>
  <c r="E11" i="10"/>
  <c r="E8" i="10"/>
  <c r="G338" i="13"/>
  <c r="G352" i="13"/>
  <c r="G366" i="13"/>
  <c r="G466" i="13"/>
  <c r="G480" i="13"/>
  <c r="G494" i="13"/>
  <c r="G526" i="13"/>
  <c r="G273" i="13"/>
  <c r="G279" i="13"/>
  <c r="G285" i="13"/>
  <c r="G370" i="13"/>
  <c r="G384" i="13"/>
  <c r="G398" i="13"/>
  <c r="G498" i="13"/>
  <c r="G512" i="13"/>
  <c r="G313" i="13"/>
  <c r="G413" i="13"/>
  <c r="G427" i="13"/>
  <c r="G441" i="13"/>
  <c r="G268" i="13"/>
  <c r="G274" i="13"/>
  <c r="G280" i="13"/>
  <c r="G386" i="13"/>
  <c r="G400" i="13"/>
  <c r="G414" i="13"/>
  <c r="G514" i="13"/>
  <c r="G302" i="13"/>
  <c r="G402" i="13"/>
  <c r="G416" i="13"/>
  <c r="G527" i="13"/>
  <c r="J14" i="13" s="1"/>
  <c r="G519" i="13"/>
  <c r="G511" i="13"/>
  <c r="G503" i="13"/>
  <c r="G495" i="13"/>
  <c r="G487" i="13"/>
  <c r="G479" i="13"/>
  <c r="G471" i="13"/>
  <c r="G463" i="13"/>
  <c r="G455" i="13"/>
  <c r="G447" i="13"/>
  <c r="G439" i="13"/>
  <c r="G431" i="13"/>
  <c r="G423" i="13"/>
  <c r="G415" i="13"/>
  <c r="G407" i="13"/>
  <c r="G399" i="13"/>
  <c r="G391" i="13"/>
  <c r="G383" i="13"/>
  <c r="G375" i="13"/>
  <c r="G367" i="13"/>
  <c r="G359" i="13"/>
  <c r="G351" i="13"/>
  <c r="G343" i="13"/>
  <c r="G335" i="13"/>
  <c r="G327" i="13"/>
  <c r="G319" i="13"/>
  <c r="G311" i="13"/>
  <c r="G303" i="13"/>
  <c r="G524" i="13"/>
  <c r="G516" i="13"/>
  <c r="G508" i="13"/>
  <c r="G500" i="13"/>
  <c r="G492" i="13"/>
  <c r="G484" i="13"/>
  <c r="G476" i="13"/>
  <c r="G468" i="13"/>
  <c r="G460" i="13"/>
  <c r="G452" i="13"/>
  <c r="G444" i="13"/>
  <c r="G436" i="13"/>
  <c r="G428" i="13"/>
  <c r="G420" i="13"/>
  <c r="G412" i="13"/>
  <c r="G404" i="13"/>
  <c r="G396" i="13"/>
  <c r="G388" i="13"/>
  <c r="G380" i="13"/>
  <c r="G372" i="13"/>
  <c r="G364" i="13"/>
  <c r="G356" i="13"/>
  <c r="G348" i="13"/>
  <c r="G340" i="13"/>
  <c r="G332" i="13"/>
  <c r="G324" i="13"/>
  <c r="G316" i="13"/>
  <c r="G308" i="13"/>
  <c r="G515" i="13"/>
  <c r="G501" i="13"/>
  <c r="G497" i="13"/>
  <c r="G483" i="13"/>
  <c r="G469" i="13"/>
  <c r="G465" i="13"/>
  <c r="G451" i="13"/>
  <c r="G437" i="13"/>
  <c r="G433" i="13"/>
  <c r="G419" i="13"/>
  <c r="G405" i="13"/>
  <c r="G401" i="13"/>
  <c r="G387" i="13"/>
  <c r="G373" i="13"/>
  <c r="G369" i="13"/>
  <c r="G355" i="13"/>
  <c r="G341" i="13"/>
  <c r="G337" i="13"/>
  <c r="G323" i="13"/>
  <c r="G309" i="13"/>
  <c r="G305" i="13"/>
  <c r="G299" i="13"/>
  <c r="G291" i="13"/>
  <c r="G283" i="13"/>
  <c r="G275" i="13"/>
  <c r="G522" i="13"/>
  <c r="G518" i="13"/>
  <c r="G504" i="13"/>
  <c r="G490" i="13"/>
  <c r="G486" i="13"/>
  <c r="G472" i="13"/>
  <c r="G458" i="13"/>
  <c r="G454" i="13"/>
  <c r="G440" i="13"/>
  <c r="G426" i="13"/>
  <c r="G422" i="13"/>
  <c r="G408" i="13"/>
  <c r="G394" i="13"/>
  <c r="G390" i="13"/>
  <c r="G376" i="13"/>
  <c r="G362" i="13"/>
  <c r="G358" i="13"/>
  <c r="G344" i="13"/>
  <c r="G330" i="13"/>
  <c r="G326" i="13"/>
  <c r="G312" i="13"/>
  <c r="G296" i="13"/>
  <c r="G525" i="13"/>
  <c r="G521" i="13"/>
  <c r="G507" i="13"/>
  <c r="G493" i="13"/>
  <c r="G489" i="13"/>
  <c r="G475" i="13"/>
  <c r="G461" i="13"/>
  <c r="G457" i="13"/>
  <c r="G443" i="13"/>
  <c r="G429" i="13"/>
  <c r="G425" i="13"/>
  <c r="G411" i="13"/>
  <c r="G397" i="13"/>
  <c r="G393" i="13"/>
  <c r="G379" i="13"/>
  <c r="G365" i="13"/>
  <c r="G361" i="13"/>
  <c r="G347" i="13"/>
  <c r="G333" i="13"/>
  <c r="G329" i="13"/>
  <c r="G315" i="13"/>
  <c r="G301" i="13"/>
  <c r="G520" i="13"/>
  <c r="G506" i="13"/>
  <c r="G502" i="13"/>
  <c r="G488" i="13"/>
  <c r="G474" i="13"/>
  <c r="G470" i="13"/>
  <c r="G456" i="13"/>
  <c r="G442" i="13"/>
  <c r="G438" i="13"/>
  <c r="G424" i="13"/>
  <c r="G410" i="13"/>
  <c r="G406" i="13"/>
  <c r="G392" i="13"/>
  <c r="G378" i="13"/>
  <c r="G374" i="13"/>
  <c r="G360" i="13"/>
  <c r="G346" i="13"/>
  <c r="G342" i="13"/>
  <c r="G328" i="13"/>
  <c r="G314" i="13"/>
  <c r="G310" i="13"/>
  <c r="G300" i="13"/>
  <c r="G510" i="13"/>
  <c r="G496" i="13"/>
  <c r="G482" i="13"/>
  <c r="G446" i="13"/>
  <c r="G432" i="13"/>
  <c r="G418" i="13"/>
  <c r="G382" i="13"/>
  <c r="G368" i="13"/>
  <c r="G354" i="13"/>
  <c r="G318" i="13"/>
  <c r="G304" i="13"/>
  <c r="G298" i="13"/>
  <c r="G294" i="13"/>
  <c r="G517" i="13"/>
  <c r="G481" i="13"/>
  <c r="G467" i="13"/>
  <c r="G453" i="13"/>
  <c r="G417" i="13"/>
  <c r="G403" i="13"/>
  <c r="G389" i="13"/>
  <c r="G353" i="13"/>
  <c r="G339" i="13"/>
  <c r="G325" i="13"/>
  <c r="G272" i="13"/>
  <c r="G269" i="13"/>
  <c r="G523" i="13"/>
  <c r="G509" i="13"/>
  <c r="G473" i="13"/>
  <c r="G459" i="13"/>
  <c r="G445" i="13"/>
  <c r="G409" i="13"/>
  <c r="G395" i="13"/>
  <c r="G381" i="13"/>
  <c r="G345" i="13"/>
  <c r="G331" i="13"/>
  <c r="G317" i="13"/>
  <c r="G297" i="13"/>
  <c r="G293" i="13"/>
  <c r="G290" i="13"/>
  <c r="G287" i="13"/>
  <c r="G284" i="13"/>
  <c r="G281" i="13"/>
  <c r="G278" i="13"/>
  <c r="G513" i="13"/>
  <c r="G499" i="13"/>
  <c r="G485" i="13"/>
  <c r="G449" i="13"/>
  <c r="G435" i="13"/>
  <c r="G421" i="13"/>
  <c r="G385" i="13"/>
  <c r="G371" i="13"/>
  <c r="G357" i="13"/>
  <c r="G321" i="13"/>
  <c r="G307" i="13"/>
  <c r="G295" i="13"/>
  <c r="G292" i="13"/>
  <c r="G289" i="13"/>
  <c r="G286" i="13"/>
  <c r="G270" i="13"/>
  <c r="G276" i="13"/>
  <c r="G282" i="13"/>
  <c r="G288" i="13"/>
  <c r="G306" i="13"/>
  <c r="G320" i="13"/>
  <c r="G334" i="13"/>
  <c r="G434" i="13"/>
  <c r="G448" i="13"/>
  <c r="G462" i="13"/>
  <c r="G349" i="13"/>
  <c r="G363" i="13"/>
  <c r="G377" i="13"/>
  <c r="G477" i="13"/>
  <c r="G491" i="13"/>
  <c r="G505" i="13"/>
  <c r="G271" i="13"/>
  <c r="G277" i="13"/>
  <c r="G322" i="13"/>
  <c r="G336" i="13"/>
  <c r="G350" i="13"/>
  <c r="G450" i="13"/>
  <c r="G464" i="13"/>
  <c r="G478" i="13"/>
</calcChain>
</file>

<file path=xl/sharedStrings.xml><?xml version="1.0" encoding="utf-8"?>
<sst xmlns="http://schemas.openxmlformats.org/spreadsheetml/2006/main" count="388" uniqueCount="298">
  <si>
    <t>WMO 5–12 Oktober 2026 — Processed Exhibit Data</t>
  </si>
  <si>
    <t>Disusun 12 Oktober 2026. Cutoff riset 12 Okt 2026 (WIB). Endpoint return: penutupan 5 Okt → 9 Okt 2026 (semua aset).</t>
  </si>
  <si>
    <t>Sumber</t>
  </si>
  <si>
    <t>Bloomberg — file TIM-8.xlsx (ditarik 12 Okt 2026 ±11:37 WIB): MXID/peer BEst P/E (mingguan, 10 thn), SOX harga &amp; BEst P/E (harian, 1 thn), SPX/SPW/CCMP/RTY, XAU, 26 saham AI, CO1/CL1, GIDN10YR, USDIDR REGN, BIDY.</t>
  </si>
  <si>
    <t>US Treasury — Daily Par Yield Curve &amp; Daily Real Yield Curve (10Y), 2025–2026.</t>
  </si>
  <si>
    <t>Baltic Exchange — Gas report &amp; Tanker report Week 41 (9 Okt 2026).</t>
  </si>
  <si>
    <t>TSMC Investor Relations — Monthly Revenue 2025 &amp; 2026 (unaudited).</t>
  </si>
  <si>
    <t>Bank Indonesia — Survei Konsumen Sep 2026 (Tabel 1, rilis 8 Okt 2026); Survei Penjualan Eceran Juli 2026 (Tabel 2) + siaran pers 9 Okt 2026.</t>
  </si>
  <si>
    <t>Konvensi warna</t>
  </si>
  <si>
    <t>Biru = input (Bloomberg/sumber resmi). Hitam = rumus. Hijau = tautan antar-sheet. Kuning = angka kunci untuk teks deck.</t>
  </si>
  <si>
    <t>Catatan kualitas data</t>
  </si>
  <si>
    <t>1. Nilai 12 Okt 2026 untuk XAU, CO1, CL1, USDIDR, MXID adalah intraday saat penarikan — TIDAK dipakai untuk return.</t>
  </si>
  <si>
    <t>2. BEst P/E 12 Okt (MXID 9,2078; SOX 28,776) sama dengan 9 Okt → estimasi belum diperbarui; dipakai 9 Okt.</t>
  </si>
  <si>
    <t>3. MXID harga &amp; P/E berfrekuensi mingguan (Jumat) → valuasi dibaca per 9 Okt, bukan return 5→9 Okt.</t>
  </si>
  <si>
    <t>4. SOX BEst P/E hanya 1 tahun (13 Okt 2025 – 9 Okt 2026), jadi benchmark valuasi SOX = rentang 1 tahun, bukan 10 tahun.</t>
  </si>
  <si>
    <t>5. GIDN10YR berhenti 8 Okt 2026 (9 Okt kosong). Perubahan SBN dihitung 5→8 Okt.</t>
  </si>
  <si>
    <t>6. ASML memakai ASML NA Equity (EUR, Amsterdam), bukan ADR AS.</t>
  </si>
  <si>
    <t>7. Z-score MXID versi Bloomberg = −2,36σ (10 thn). Chart Refinitiv referensi menunjukkan ±−3 → beda sumber konsensus/metode; deck memakai angka Bloomberg.</t>
  </si>
  <si>
    <t>8. Saham Korea/Taiwan, JCI/LQ45, arus asing, dan CME FedWatch tidak ada di TIM-8.</t>
  </si>
  <si>
    <t>Exhibit 1 — Biaya angkut energi: tanker minyak vs LPG vs LNG</t>
  </si>
  <si>
    <t>Panel A: Baltic Dirty Tanker Index (BIDY), harian. Sumber: Bloomberg (TIM-8). Panel B: asesmen rute Baltic Exchange, 9 Okt 2026.</t>
  </si>
  <si>
    <t>Perubahan mingguan versi Baltic = Jumat 2 Okt → Jumat 9 Okt (metodologi laporan mingguan), BUKAN return 5–12 Okt.</t>
  </si>
  <si>
    <t>Date</t>
  </si>
  <si>
    <t>BIDY</t>
  </si>
  <si>
    <t>x pra-perang (27 Feb)</t>
  </si>
  <si>
    <t>Segmen</t>
  </si>
  <si>
    <t>Rute (kode)</t>
  </si>
  <si>
    <t>Satuan rate</t>
  </si>
  <si>
    <t>Level 9 Okt</t>
  </si>
  <si>
    <t>Δ w/w (Baltic)</t>
  </si>
  <si>
    <t>Level 2 Okt (implied)</t>
  </si>
  <si>
    <t>Δ w/w %</t>
  </si>
  <si>
    <t>TCE USD/hari 9 Okt</t>
  </si>
  <si>
    <t>LNG</t>
  </si>
  <si>
    <t>BLNG1 Australia–Japan</t>
  </si>
  <si>
    <t>USD/hari</t>
  </si>
  <si>
    <t>BLNG2 US Gulf–Continent</t>
  </si>
  <si>
    <t>BLNG3 US Gulf–Japan</t>
  </si>
  <si>
    <t>LPG</t>
  </si>
  <si>
    <t>BLPG1 Ras Tanura–Chiba</t>
  </si>
  <si>
    <t>USD/ton</t>
  </si>
  <si>
    <t>n.a.</t>
  </si>
  <si>
    <t>BLPG2 Houston–Flushing</t>
  </si>
  <si>
    <t>BLPG3 Houston–Chiba</t>
  </si>
  <si>
    <t>Minyak mentah</t>
  </si>
  <si>
    <t>TD3C MEG–China (VLCC)</t>
  </si>
  <si>
    <t>Worldscale</t>
  </si>
  <si>
    <t>TD22 US Gulf–China (VLCC)</t>
  </si>
  <si>
    <t>USD lumpsum</t>
  </si>
  <si>
    <t>TD15 West Africa–China (VLCC)</t>
  </si>
  <si>
    <t>Ringkasan BIDY</t>
  </si>
  <si>
    <t>BIDY 9 Okt 2026</t>
  </si>
  <si>
    <t>BIDY 5 Okt 2026</t>
  </si>
  <si>
    <t>Return 5→9 Okt</t>
  </si>
  <si>
    <t>BIDY 27 Feb 2026 (pra-perang)</t>
  </si>
  <si>
    <t>Kelipatan vs 27 Feb</t>
  </si>
  <si>
    <t>BIDY 14 Agu 2026</t>
  </si>
  <si>
    <t>Kenaikan sejak 14 Agu</t>
  </si>
  <si>
    <t>Exhibit 2 — Emas vs real yield UST 10Y (dua panel, tanpa dual-axis)</t>
  </si>
  <si>
    <t>XAU = Bloomberg XAU Curncy (TIM-8). Real &amp; nominal 10Y = US Treasury par yield curve. Breakeven = nominal − real (perhitungan).</t>
  </si>
  <si>
    <t>Periode chart: 1 Jul – 9 Okt 2026. 12 Okt (XAU intraday) tidak dipakai.</t>
  </si>
  <si>
    <t>XAU (USD/oz)</t>
  </si>
  <si>
    <t>Real 10Y (%)</t>
  </si>
  <si>
    <t>Nominal 10Y (%)</t>
  </si>
  <si>
    <t>Breakeven 10Y (%)</t>
  </si>
  <si>
    <t>Ringkasan</t>
  </si>
  <si>
    <t>XAU 5 Okt</t>
  </si>
  <si>
    <t>XAU 9 Okt</t>
  </si>
  <si>
    <t>Puncak sejak Jul (25 Agu)</t>
  </si>
  <si>
    <t>Titik terendah 7 Okt</t>
  </si>
  <si>
    <t>Puncak → 7 Okt</t>
  </si>
  <si>
    <t>Puncak 2026 (28 Jan)</t>
  </si>
  <si>
    <t>28 Jan → 9 Okt</t>
  </si>
  <si>
    <t>Real 10Y 28 Jan</t>
  </si>
  <si>
    <t>Real 10Y 9 Okt</t>
  </si>
  <si>
    <t>Δ real 10Y 28 Jan→9 Okt (bps)</t>
  </si>
  <si>
    <t>Real 10Y 31 Agu</t>
  </si>
  <si>
    <t>Real 10Y 30 Sep</t>
  </si>
  <si>
    <t>Δ real 10Y September (bps)</t>
  </si>
  <si>
    <t>Breakeven 9 Okt</t>
  </si>
  <si>
    <t>Exhibit 3 — Rantai nilai AI: return 5→9 Okt 2026</t>
  </si>
  <si>
    <t>Harga penutupan Bloomberg (TIM-8). YTD dari penutupan terakhir ≤ 31 Des 2025. Rata-rata kelompok = rata-rata sederhana (bukan indeks).</t>
  </si>
  <si>
    <t>Kelompok</t>
  </si>
  <si>
    <t>Ticker</t>
  </si>
  <si>
    <t>31 Des 2025</t>
  </si>
  <si>
    <t>5 Okt 2026</t>
  </si>
  <si>
    <t>9 Okt 2026</t>
  </si>
  <si>
    <t>YTD</t>
  </si>
  <si>
    <t>Kelompok (data chart)</t>
  </si>
  <si>
    <t>Rata-rata 5→9 Okt</t>
  </si>
  <si>
    <t>Rata-rata YTD</t>
  </si>
  <si>
    <t>Listrik</t>
  </si>
  <si>
    <t>CEG US Equity</t>
  </si>
  <si>
    <t>VST US Equity</t>
  </si>
  <si>
    <t>Software</t>
  </si>
  <si>
    <t>IGV US Equity</t>
  </si>
  <si>
    <t>Hyperscaler</t>
  </si>
  <si>
    <t>PLTR US Equity</t>
  </si>
  <si>
    <t>Jaringan/server</t>
  </si>
  <si>
    <t>MSFT US Equity</t>
  </si>
  <si>
    <t>GPU/logic</t>
  </si>
  <si>
    <t>AMZN US Equity</t>
  </si>
  <si>
    <t>Foundry/peralatan</t>
  </si>
  <si>
    <t>GOOGL US Equity</t>
  </si>
  <si>
    <t>Memori/storage</t>
  </si>
  <si>
    <t>META US Equity</t>
  </si>
  <si>
    <t>ORCL US Equity</t>
  </si>
  <si>
    <t>ANET US Equity</t>
  </si>
  <si>
    <t>DELL US Equity</t>
  </si>
  <si>
    <t>MRVL US Equity</t>
  </si>
  <si>
    <t>NVDA US Equity</t>
  </si>
  <si>
    <t>AMD US Equity</t>
  </si>
  <si>
    <t>AVGO US Equity</t>
  </si>
  <si>
    <t>ARM US Equity</t>
  </si>
  <si>
    <t>INTC US Equity</t>
  </si>
  <si>
    <t>TSM US Equity</t>
  </si>
  <si>
    <t>ASML NA Equity</t>
  </si>
  <si>
    <t>AMAT US Equity</t>
  </si>
  <si>
    <t>LRCX US Equity</t>
  </si>
  <si>
    <t>KLAC US Equity</t>
  </si>
  <si>
    <t>MU US Equity</t>
  </si>
  <si>
    <t>SNDK US Equity</t>
  </si>
  <si>
    <t>STX US Equity</t>
  </si>
  <si>
    <t>WDC US Equity</t>
  </si>
  <si>
    <t>Acuan</t>
  </si>
  <si>
    <t>SOX</t>
  </si>
  <si>
    <t>SPX</t>
  </si>
  <si>
    <t>SPW (equal-weight)</t>
  </si>
  <si>
    <t>CCMP (Nasdaq)</t>
  </si>
  <si>
    <t>RTY (Russell 2000)</t>
  </si>
  <si>
    <t>Exhibit 4 — Fundamental pemasok vs harga: penjualan TSMC dan SOX</t>
  </si>
  <si>
    <t>Panel kiri: penjualan bulanan TSMC (NT$ juta, unaudited) — TSMC IR. YoY 2025 sesuai laporan TSMC; YoY 2026 dihitung vs 2025.</t>
  </si>
  <si>
    <t>Panel kanan: SOX harga &amp; BEst P/E (blended forward) — Bloomberg (TIM-8), 1 tahun. Implied forward EPS = harga ÷ P/E (perhitungan).</t>
  </si>
  <si>
    <t>Bulan</t>
  </si>
  <si>
    <t>Penjualan (NT$ juta)</t>
  </si>
  <si>
    <t>YoY (%)</t>
  </si>
  <si>
    <t>BEst P/E</t>
  </si>
  <si>
    <t>Implied fwd EPS</t>
  </si>
  <si>
    <t>Ringkasan SOX</t>
  </si>
  <si>
    <t>SOX 5 Okt</t>
  </si>
  <si>
    <t>SOX 9 Okt</t>
  </si>
  <si>
    <t>SOX 31 Des 2025</t>
  </si>
  <si>
    <t>YTD s.d. 9 Okt</t>
  </si>
  <si>
    <t>Return 7→8 Okt</t>
  </si>
  <si>
    <t>P/E 5 Okt</t>
  </si>
  <si>
    <t>P/E 9 Okt</t>
  </si>
  <si>
    <t>P/E 31 Des 2025</t>
  </si>
  <si>
    <t>P/E rata-rata 1 thn</t>
  </si>
  <si>
    <t>P/E min 1 thn</t>
  </si>
  <si>
    <t>P/E maks 1 thn</t>
  </si>
  <si>
    <t>Fwd EPS 5 Okt</t>
  </si>
  <si>
    <t>Fwd EPS 9 Okt</t>
  </si>
  <si>
    <t>Fwd EPS 31 Des 2025</t>
  </si>
  <si>
    <t>Δ fwd EPS YTD</t>
  </si>
  <si>
    <t>Sep-26 YoY</t>
  </si>
  <si>
    <t>Jan–Sep 26 YoY</t>
  </si>
  <si>
    <t>Exhibit 5 — Konsumen Indonesia: kondisi saat ini vs ekspektasi, dan penjualan eceran</t>
  </si>
  <si>
    <t>Survei Konsumen BI, Tabel 1 (laporan Sep 2026, rilis 8 Okt 2026). Penjualan eceran: SPE Juli 2026 Tabel 2 (Jan 24–Jul 26) + siaran pers BI 9 Okt 2026 (Agu realisasi, Sep prakiraan).</t>
  </si>
  <si>
    <t>IKK</t>
  </si>
  <si>
    <t>IKE (kondisi saat ini)</t>
  </si>
  <si>
    <t>IEK (ekspektasi)</t>
  </si>
  <si>
    <t>Gap IEK−IKE</t>
  </si>
  <si>
    <t>Penghasilan saat ini</t>
  </si>
  <si>
    <t>Ketersediaan kerja</t>
  </si>
  <si>
    <t>Barang tahan lama</t>
  </si>
  <si>
    <t>Ekspektasi penghasilan</t>
  </si>
  <si>
    <t>Ekspektasi kerja</t>
  </si>
  <si>
    <t>Ekspektasi usaha</t>
  </si>
  <si>
    <t>IKE Sep 2026</t>
  </si>
  <si>
    <t>IKE terendah 2026</t>
  </si>
  <si>
    <t>IEK Sep 2026</t>
  </si>
  <si>
    <t>Gap IEK−IKE Sep 2026</t>
  </si>
  <si>
    <t>Gap rata-rata 2025</t>
  </si>
  <si>
    <t>Penghasilan saat ini Sep 26</t>
  </si>
  <si>
    <t>Ketersediaan kerja Sep 26</t>
  </si>
  <si>
    <t>Penjualan eceran — Indeks Penjualan Riil, pertumbuhan YoY (%)</t>
  </si>
  <si>
    <t>IPR YoY (%)</t>
  </si>
  <si>
    <t>Status</t>
  </si>
  <si>
    <t>Rata-rata YoY 2025</t>
  </si>
  <si>
    <t>Realisasi</t>
  </si>
  <si>
    <t>Realisasi (rilis 9 Okt 2026)</t>
  </si>
  <si>
    <t>Prakiraan (rilis 9 Okt 2026)</t>
  </si>
  <si>
    <t>Exhibit 6 — MSCI Indonesia 12m forward P/E vs rata-rata 10 tahun</t>
  </si>
  <si>
    <t>Bloomberg BEst P/E (blended forward), mingguan 14 Okt 2016 – 9 Okt 2026 (TIM-8). Rata-rata &amp; σ = populasi seluruh jendela 10 tahun.</t>
  </si>
  <si>
    <t>12 Okt 2026 tidak dipakai (estimasi sama dengan 9 Okt).</t>
  </si>
  <si>
    <t>MXID</t>
  </si>
  <si>
    <t>MXEF</t>
  </si>
  <si>
    <t>MXASJ</t>
  </si>
  <si>
    <t>MXIN</t>
  </si>
  <si>
    <t>MXCN</t>
  </si>
  <si>
    <t>Rata-rata MXID</t>
  </si>
  <si>
    <t>+1σ</t>
  </si>
  <si>
    <t>−1σ</t>
  </si>
  <si>
    <t>+2σ</t>
  </si>
  <si>
    <t>−2σ</t>
  </si>
  <si>
    <t>Z MXID</t>
  </si>
  <si>
    <t>MXID vs MXEF</t>
  </si>
  <si>
    <t>Date (harga)</t>
  </si>
  <si>
    <t>MXID harga</t>
  </si>
  <si>
    <t>Rata-rata 10 thn MXID</t>
  </si>
  <si>
    <t>σ 10 thn MXID</t>
  </si>
  <si>
    <t>MXID P/E 9 Okt 2026</t>
  </si>
  <si>
    <t>Z-score 9 Okt 2026</t>
  </si>
  <si>
    <t>P/E terendah 10 thn</t>
  </si>
  <si>
    <t>Persentil 9 Okt</t>
  </si>
  <si>
    <t>Diskon vs MXEF 9 Okt</t>
  </si>
  <si>
    <t>Rata-rata 10 thn vs MXEF</t>
  </si>
  <si>
    <t>Z MXEF</t>
  </si>
  <si>
    <t>Z MXASJ</t>
  </si>
  <si>
    <t>Z MXIN</t>
  </si>
  <si>
    <t>Z MXCN</t>
  </si>
  <si>
    <t>Harga MXID 26 Des 25 → 9 Okt 26</t>
  </si>
  <si>
    <t>Implied fwd EPS 26 Des 25 → 9 Okt 26</t>
  </si>
  <si>
    <t>Pendukung teks Indonesia — SBN 10Y vs UST 10Y, dan USD/IDR</t>
  </si>
  <si>
    <t>SBN = Bloomberg GIDN10YR Index (berhenti 8 Okt). UST = US Treasury par yield 10Y. USD/IDR = Bloomberg USDIDR REGN Curncy.</t>
  </si>
  <si>
    <t>SBN 10Y (%)</t>
  </si>
  <si>
    <t>UST 10Y (%)</t>
  </si>
  <si>
    <t>Spread (bps)</t>
  </si>
  <si>
    <t>USD/IDR</t>
  </si>
  <si>
    <t>Δ SBN 30 Jun→8 Okt (bps)</t>
  </si>
  <si>
    <t>Δ UST 30 Jun→8 Okt (bps)</t>
  </si>
  <si>
    <t>Δ SBN 5→8 Okt (bps)</t>
  </si>
  <si>
    <t>Δ UST 5→8 Okt (bps)</t>
  </si>
  <si>
    <t>Spread 30 Jun (bps)</t>
  </si>
  <si>
    <t>Spread 8 Okt (bps)</t>
  </si>
  <si>
    <t>USD/IDR 5 Okt</t>
  </si>
  <si>
    <t>USD/IDR 9 Okt</t>
  </si>
  <si>
    <t>Rupiah 5→9 Okt (+ = menguat)</t>
  </si>
  <si>
    <t>Pendukung teks Global — Brent &amp; WTI (front month)</t>
  </si>
  <si>
    <t>Bloomberg CO1 Comdty &amp; CL1 COMB Comdty (TIM-8). 12 Okt = intraday, tidak dipakai.</t>
  </si>
  <si>
    <t>Brent (CO1)</t>
  </si>
  <si>
    <t>WTI (CL1)</t>
  </si>
  <si>
    <t>Brent 5→9 Okt</t>
  </si>
  <si>
    <t>WTI 5→9 Okt</t>
  </si>
  <si>
    <t>Brent 26 Feb 2026 (pra-perang)</t>
  </si>
  <si>
    <t>Brent 9 Okt vs 26 Feb</t>
  </si>
  <si>
    <t>Brent puncak 2026</t>
  </si>
  <si>
    <t>Pendukung Exhibit 4 — SOX BEst P/E (blended forward), mingguan 10 tahun</t>
  </si>
  <si>
    <t>Bloomberg (TIM-9). Benchmark valuasi SOX 10 tahun dan 5 tahun. 12 Okt tidak dipakai (sama dengan 9 Okt).</t>
  </si>
  <si>
    <t>SOX BEst P/E</t>
  </si>
  <si>
    <t>P/E 9 Okt 2026</t>
  </si>
  <si>
    <t>Rata-rata 10 thn</t>
  </si>
  <si>
    <t>σ 10 thn</t>
  </si>
  <si>
    <t>Z 10 thn</t>
  </si>
  <si>
    <t>Persentil 10 thn</t>
  </si>
  <si>
    <t>Rata-rata 5 thn</t>
  </si>
  <si>
    <t>Z 5 thn</t>
  </si>
  <si>
    <t>P/E maks 10 thn</t>
  </si>
  <si>
    <t>P/E min 10 thn</t>
  </si>
  <si>
    <t>Pendukung US P1 — Samsung, SK hynix, TSMC (bursa lokal)</t>
  </si>
  <si>
    <t>Bloomberg (TIM-9). Korea libur 5 &amp; 9 Okt; Taiwan libur 9 Okt → dibiarkan kosong. 12 Okt = intraday, tidak dipakai.</t>
  </si>
  <si>
    <t>Samsung</t>
  </si>
  <si>
    <t>SK hynix</t>
  </si>
  <si>
    <t>TSMC (TW)</t>
  </si>
  <si>
    <t>Samsung 7→8 Okt (hari rilis)</t>
  </si>
  <si>
    <t>Samsung 6→8 Okt</t>
  </si>
  <si>
    <t>SK hynix 6→8 Okt</t>
  </si>
  <si>
    <t>TSMC (TW) 5→8 Okt</t>
  </si>
  <si>
    <t>Samsung YTD s.d. 8 Okt</t>
  </si>
  <si>
    <t>SK hynix YTD s.d. 8 Okt</t>
  </si>
  <si>
    <t>Pendukung Indonesia P3 — JCI &amp; LQ45 harian</t>
  </si>
  <si>
    <t>Bloomberg (TIM-9). Basis YTD = penutupan terakhir 2025 (30 Des 2025). 12 Okt (±13:30 WIB) = intraday, tidak dipakai.</t>
  </si>
  <si>
    <t>JCI</t>
  </si>
  <si>
    <t>LQ45</t>
  </si>
  <si>
    <t>JCI 5 Okt</t>
  </si>
  <si>
    <t>JCI 9 Okt</t>
  </si>
  <si>
    <t>JCI 5→9 Okt</t>
  </si>
  <si>
    <t>JCI YTD (30 Des 25→9 Okt)</t>
  </si>
  <si>
    <t>LQ45 5→9 Okt</t>
  </si>
  <si>
    <t>LQ45 YTD</t>
  </si>
  <si>
    <t>Opsi Exhibit 6 — Premi risiko Indonesia: saham vs FX vs kredit (meniru chart Refinitiv)</t>
  </si>
  <si>
    <t>Mingguan. Z-score P/E MXID &amp; RR USD/IDR 1M 25D = jendela 10 thn (Okt 2016–Okt 2026). CDS 5Y hanya tersedia 5 thn (Okt 2021–) → z-score CDS jendela 5 thn.</t>
  </si>
  <si>
    <t>RR &amp; CDS dikali −1 (seperti chart referensi): nilai positif = premi risiko lebih rendah dari rata-rata. Sumber: Bloomberg TIM-8 &amp; TIM-9.</t>
  </si>
  <si>
    <t>MXID BEst P/E</t>
  </si>
  <si>
    <t>USD/IDR RR 1M 25D</t>
  </si>
  <si>
    <t>CDS Indo 5Y (bps)</t>
  </si>
  <si>
    <t>Z P/E (10y)</t>
  </si>
  <si>
    <t>Z RR ×−1 (10y)</t>
  </si>
  <si>
    <t>Z CDS ×−1 (5y)</t>
  </si>
  <si>
    <t>Rata-rata P/E 10y</t>
  </si>
  <si>
    <t>σ P/E 10y</t>
  </si>
  <si>
    <t>Rata-rata RR 10y</t>
  </si>
  <si>
    <t>σ RR 10y</t>
  </si>
  <si>
    <t>Rata-rata CDS 5y</t>
  </si>
  <si>
    <t>σ CDS 5y</t>
  </si>
  <si>
    <t>Z P/E 9 Okt</t>
  </si>
  <si>
    <t>Z RR ×−1 9 Okt</t>
  </si>
  <si>
    <t>Z CDS ×−1 9 Okt</t>
  </si>
  <si>
    <t>CDS 26 Des 2025</t>
  </si>
  <si>
    <t>CDS 9 Okt 2026</t>
  </si>
  <si>
    <t>Pendukung Indonesia P3 — kinerja harga MSCI ASEAN &amp; negara (USD), mingguan</t>
  </si>
  <si>
    <t>Bloomberg (TIM-9) — PX_LAST, BUKAN P/E. Valuasi peer ASEAN belum tersedia (perlu BEST_PE_RATIO). MXID harga dari TIM-8.</t>
  </si>
  <si>
    <t>MXSO</t>
  </si>
  <si>
    <t>MXMY</t>
  </si>
  <si>
    <t>MXTH</t>
  </si>
  <si>
    <t>MXPH</t>
  </si>
  <si>
    <t>MXSG</t>
  </si>
  <si>
    <t>YTD (26 Des 25 → 9 Okt 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</si>
</sst>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0&quot;x&quot;"/>
    <numFmt numFmtId="166" formatCode="0.0%"/>
    <numFmt numFmtId="167" formatCode="0.0&quot;x&quot;"/>
    <numFmt numFmtId="168" formatCode="#,##0.0"/>
    <numFmt numFmtId="169" formatCode="0.0"/>
    <numFmt numFmtId="170" formatCode="0.000"/>
  </numFmts>
  <fonts count="8" x14ac:knownFonts="1"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15" fontId="6" fillId="0" borderId="0" xfId="0" applyNumberFormat="1" applyFont="1"/>
    <xf numFmtId="3" fontId="6" fillId="0" borderId="0" xfId="0" applyNumberFormat="1" applyFont="1"/>
    <xf numFmtId="165" fontId="2" fillId="0" borderId="0" xfId="0" applyNumberFormat="1" applyFont="1"/>
    <xf numFmtId="4" fontId="6" fillId="0" borderId="0" xfId="0" applyNumberFormat="1" applyFont="1"/>
    <xf numFmtId="4" fontId="2" fillId="0" borderId="0" xfId="0" applyNumberFormat="1" applyFont="1"/>
    <xf numFmtId="166" fontId="2" fillId="0" borderId="0" xfId="0" applyNumberFormat="1" applyFont="1"/>
    <xf numFmtId="3" fontId="2" fillId="3" borderId="0" xfId="0" applyNumberFormat="1" applyFont="1" applyFill="1"/>
    <xf numFmtId="10" fontId="2" fillId="3" borderId="0" xfId="0" applyNumberFormat="1" applyFont="1" applyFill="1"/>
    <xf numFmtId="167" fontId="2" fillId="3" borderId="0" xfId="0" applyNumberFormat="1" applyFont="1" applyFill="1"/>
    <xf numFmtId="166" fontId="2" fillId="3" borderId="0" xfId="0" applyNumberFormat="1" applyFont="1" applyFill="1"/>
    <xf numFmtId="2" fontId="6" fillId="0" borderId="0" xfId="0" applyNumberFormat="1" applyFont="1"/>
    <xf numFmtId="2" fontId="2" fillId="0" borderId="0" xfId="0" applyNumberFormat="1" applyFont="1"/>
    <xf numFmtId="4" fontId="2" fillId="3" borderId="0" xfId="0" applyNumberFormat="1" applyFont="1" applyFill="1"/>
    <xf numFmtId="2" fontId="2" fillId="3" borderId="0" xfId="0" applyNumberFormat="1" applyFont="1" applyFill="1"/>
    <xf numFmtId="1" fontId="2" fillId="3" borderId="0" xfId="0" applyNumberFormat="1" applyFont="1" applyFill="1"/>
    <xf numFmtId="10" fontId="2" fillId="0" borderId="0" xfId="0" applyNumberFormat="1" applyFont="1"/>
    <xf numFmtId="17" fontId="6" fillId="0" borderId="0" xfId="0" applyNumberFormat="1" applyFont="1"/>
    <xf numFmtId="166" fontId="6" fillId="0" borderId="0" xfId="0" applyNumberFormat="1" applyFont="1"/>
    <xf numFmtId="168" fontId="2" fillId="0" borderId="0" xfId="0" applyNumberFormat="1" applyFont="1"/>
    <xf numFmtId="168" fontId="2" fillId="3" borderId="0" xfId="0" applyNumberFormat="1" applyFont="1" applyFill="1"/>
    <xf numFmtId="169" fontId="6" fillId="0" borderId="0" xfId="0" applyNumberFormat="1" applyFont="1"/>
    <xf numFmtId="169" fontId="2" fillId="0" borderId="0" xfId="0" applyNumberFormat="1" applyFont="1"/>
    <xf numFmtId="169" fontId="2" fillId="3" borderId="0" xfId="0" applyNumberFormat="1" applyFont="1" applyFill="1"/>
    <xf numFmtId="2" fontId="7" fillId="0" borderId="0" xfId="0" applyNumberFormat="1" applyFont="1"/>
    <xf numFmtId="170" fontId="6" fillId="0" borderId="0" xfId="0" applyNumberFormat="1" applyFont="1"/>
    <xf numFmtId="1" fontId="2" fillId="0" borderId="0" xfId="0" applyNumberFormat="1" applyFont="1"/>
    <xf numFmtId="9" fontId="2" fillId="3" borderId="0" xfId="0" applyNumberFormat="1" applyFont="1" applyFill="1"/>
    <xf numFmtId="17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/>
  </sheetViews>
  <sheetFormatPr baseColWidth="10" defaultColWidth="8.83203125" defaultRowHeight="15" x14ac:dyDescent="0.2"/>
  <cols>
    <col min="1" max="1" width="150" customWidth="1"/>
  </cols>
  <sheetData>
    <row r="1" spans="1:1" ht="16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/>
    </row>
    <row r="4" spans="1:1" x14ac:dyDescent="0.2">
      <c r="A4" s="3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/>
    </row>
    <row r="11" spans="1:1" x14ac:dyDescent="0.2">
      <c r="A11" s="3" t="s">
        <v>8</v>
      </c>
    </row>
    <row r="12" spans="1:1" x14ac:dyDescent="0.2">
      <c r="A12" s="2" t="s">
        <v>9</v>
      </c>
    </row>
    <row r="13" spans="1:1" x14ac:dyDescent="0.2">
      <c r="A13" s="2"/>
    </row>
    <row r="14" spans="1:1" x14ac:dyDescent="0.2">
      <c r="A14" s="3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 t="s">
        <v>16</v>
      </c>
    </row>
    <row r="21" spans="1:1" x14ac:dyDescent="0.2">
      <c r="A21" s="2" t="s">
        <v>17</v>
      </c>
    </row>
    <row r="22" spans="1:1" x14ac:dyDescent="0.2">
      <c r="A22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4"/>
  <sheetViews>
    <sheetView workbookViewId="0"/>
  </sheetViews>
  <sheetFormatPr baseColWidth="10" defaultColWidth="8.83203125" defaultRowHeight="15" x14ac:dyDescent="0.2"/>
  <cols>
    <col min="1" max="1" width="12" customWidth="1"/>
    <col min="2" max="2" width="10" customWidth="1"/>
    <col min="3" max="3" width="12" customWidth="1"/>
    <col min="4" max="5" width="3" customWidth="1"/>
    <col min="6" max="6" width="14" customWidth="1"/>
    <col min="7" max="7" width="30" customWidth="1"/>
    <col min="8" max="10" width="14" customWidth="1"/>
    <col min="11" max="11" width="16" customWidth="1"/>
    <col min="12" max="12" width="10" customWidth="1"/>
    <col min="13" max="13" width="16" customWidth="1"/>
  </cols>
  <sheetData>
    <row r="1" spans="1:13" ht="16" x14ac:dyDescent="0.2">
      <c r="A1" s="1" t="s">
        <v>19</v>
      </c>
    </row>
    <row r="2" spans="1:13" x14ac:dyDescent="0.2">
      <c r="A2" s="4" t="s">
        <v>20</v>
      </c>
    </row>
    <row r="3" spans="1:13" x14ac:dyDescent="0.2">
      <c r="A3" s="4" t="s">
        <v>21</v>
      </c>
    </row>
    <row r="5" spans="1:13" ht="28" x14ac:dyDescent="0.2">
      <c r="A5" s="5" t="s">
        <v>22</v>
      </c>
      <c r="B5" s="5" t="s">
        <v>23</v>
      </c>
      <c r="C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</row>
    <row r="6" spans="1:13" x14ac:dyDescent="0.2">
      <c r="A6" s="6">
        <v>45943</v>
      </c>
      <c r="B6" s="7">
        <v>1141</v>
      </c>
      <c r="C6" s="8">
        <f t="shared" ref="C6:C69" si="0">B6/$B$99</f>
        <v>0.57307885484681065</v>
      </c>
      <c r="F6" s="2" t="s">
        <v>33</v>
      </c>
      <c r="G6" s="2" t="s">
        <v>34</v>
      </c>
      <c r="H6" s="2" t="s">
        <v>35</v>
      </c>
      <c r="I6" s="9">
        <v>34600</v>
      </c>
      <c r="J6" s="9">
        <v>-2300</v>
      </c>
      <c r="K6" s="10">
        <f>I6-J6</f>
        <v>36900</v>
      </c>
      <c r="L6" s="11">
        <f>I6/K6-1</f>
        <v>-6.2330623306233068E-2</v>
      </c>
      <c r="M6" s="7">
        <v>34600</v>
      </c>
    </row>
    <row r="7" spans="1:13" x14ac:dyDescent="0.2">
      <c r="A7" s="6">
        <v>45944</v>
      </c>
      <c r="B7" s="7">
        <v>1152</v>
      </c>
      <c r="C7" s="8">
        <f t="shared" si="0"/>
        <v>0.57860371672526367</v>
      </c>
      <c r="F7" s="2" t="s">
        <v>33</v>
      </c>
      <c r="G7" s="2" t="s">
        <v>36</v>
      </c>
      <c r="H7" s="2" t="s">
        <v>35</v>
      </c>
      <c r="I7" s="9">
        <v>21200</v>
      </c>
      <c r="J7" s="9">
        <v>-4900</v>
      </c>
      <c r="K7" s="10">
        <f>I7-J7</f>
        <v>26100</v>
      </c>
      <c r="L7" s="11">
        <f>I7/K7-1</f>
        <v>-0.1877394636015326</v>
      </c>
      <c r="M7" s="7">
        <v>21200</v>
      </c>
    </row>
    <row r="8" spans="1:13" x14ac:dyDescent="0.2">
      <c r="A8" s="6">
        <v>45945</v>
      </c>
      <c r="B8" s="7">
        <v>1160</v>
      </c>
      <c r="C8" s="8">
        <f t="shared" si="0"/>
        <v>0.58262179809141135</v>
      </c>
      <c r="F8" s="2" t="s">
        <v>33</v>
      </c>
      <c r="G8" s="2" t="s">
        <v>37</v>
      </c>
      <c r="H8" s="2" t="s">
        <v>35</v>
      </c>
      <c r="I8" s="9">
        <v>52100</v>
      </c>
      <c r="J8" s="9">
        <v>-4200</v>
      </c>
      <c r="K8" s="10">
        <f>I8-J8</f>
        <v>56300</v>
      </c>
      <c r="L8" s="11">
        <f>I8/K8-1</f>
        <v>-7.4600355239786809E-2</v>
      </c>
      <c r="M8" s="7">
        <v>52100</v>
      </c>
    </row>
    <row r="9" spans="1:13" x14ac:dyDescent="0.2">
      <c r="A9" s="6">
        <v>45946</v>
      </c>
      <c r="B9" s="7">
        <v>1181</v>
      </c>
      <c r="C9" s="8">
        <f t="shared" si="0"/>
        <v>0.59316926167754902</v>
      </c>
      <c r="F9" s="2" t="s">
        <v>38</v>
      </c>
      <c r="G9" s="2" t="s">
        <v>39</v>
      </c>
      <c r="H9" s="2" t="s">
        <v>40</v>
      </c>
      <c r="I9" s="9">
        <v>265</v>
      </c>
      <c r="J9" s="2" t="s">
        <v>41</v>
      </c>
      <c r="K9" s="2"/>
      <c r="L9" s="2"/>
      <c r="M9" s="7">
        <v>258182</v>
      </c>
    </row>
    <row r="10" spans="1:13" x14ac:dyDescent="0.2">
      <c r="A10" s="6">
        <v>45947</v>
      </c>
      <c r="B10" s="7">
        <v>1207</v>
      </c>
      <c r="C10" s="8">
        <f t="shared" si="0"/>
        <v>0.60622802611752891</v>
      </c>
      <c r="F10" s="2" t="s">
        <v>38</v>
      </c>
      <c r="G10" s="2" t="s">
        <v>42</v>
      </c>
      <c r="H10" s="2" t="s">
        <v>40</v>
      </c>
      <c r="I10" s="9">
        <v>190.83</v>
      </c>
      <c r="J10" s="9">
        <v>18</v>
      </c>
      <c r="K10" s="10">
        <f>I10-J10</f>
        <v>172.83</v>
      </c>
      <c r="L10" s="11">
        <f>I10/K10-1</f>
        <v>0.10414858531504945</v>
      </c>
      <c r="M10" s="7">
        <v>227905</v>
      </c>
    </row>
    <row r="11" spans="1:13" x14ac:dyDescent="0.2">
      <c r="A11" s="6">
        <v>45950</v>
      </c>
      <c r="B11" s="7">
        <v>1218</v>
      </c>
      <c r="C11" s="8">
        <f t="shared" si="0"/>
        <v>0.61175288799598193</v>
      </c>
      <c r="F11" s="2" t="s">
        <v>38</v>
      </c>
      <c r="G11" s="2" t="s">
        <v>43</v>
      </c>
      <c r="H11" s="2" t="s">
        <v>40</v>
      </c>
      <c r="I11" s="9">
        <v>344.71</v>
      </c>
      <c r="J11" s="9">
        <v>22</v>
      </c>
      <c r="K11" s="10">
        <f>I11-J11</f>
        <v>322.70999999999998</v>
      </c>
      <c r="L11" s="11">
        <f>I11/K11-1</f>
        <v>6.8172662762232328E-2</v>
      </c>
      <c r="M11" s="7">
        <v>214030</v>
      </c>
    </row>
    <row r="12" spans="1:13" x14ac:dyDescent="0.2">
      <c r="A12" s="6">
        <v>45951</v>
      </c>
      <c r="B12" s="7">
        <v>1236</v>
      </c>
      <c r="C12" s="8">
        <f t="shared" si="0"/>
        <v>0.62079357106981414</v>
      </c>
      <c r="F12" s="2" t="s">
        <v>44</v>
      </c>
      <c r="G12" s="2" t="s">
        <v>45</v>
      </c>
      <c r="H12" s="2" t="s">
        <v>46</v>
      </c>
      <c r="I12" s="9">
        <v>1318.75</v>
      </c>
      <c r="J12" s="9">
        <v>115</v>
      </c>
      <c r="K12" s="10">
        <f>I12-J12</f>
        <v>1203.75</v>
      </c>
      <c r="L12" s="11">
        <f>I12/K12-1</f>
        <v>9.5534787123572107E-2</v>
      </c>
      <c r="M12" s="7">
        <v>1412594</v>
      </c>
    </row>
    <row r="13" spans="1:13" x14ac:dyDescent="0.2">
      <c r="A13" s="6">
        <v>45952</v>
      </c>
      <c r="B13" s="7">
        <v>1226</v>
      </c>
      <c r="C13" s="8">
        <f t="shared" si="0"/>
        <v>0.61577096936212961</v>
      </c>
      <c r="F13" s="2" t="s">
        <v>44</v>
      </c>
      <c r="G13" s="2" t="s">
        <v>47</v>
      </c>
      <c r="H13" s="2" t="s">
        <v>48</v>
      </c>
      <c r="I13" s="9">
        <v>79611111</v>
      </c>
      <c r="J13" s="9">
        <v>24800000</v>
      </c>
      <c r="K13" s="10">
        <f>I13-J13</f>
        <v>54811111</v>
      </c>
      <c r="L13" s="11">
        <f>I13/K13-1</f>
        <v>0.45246300517426108</v>
      </c>
      <c r="M13" s="7">
        <v>637675</v>
      </c>
    </row>
    <row r="14" spans="1:13" x14ac:dyDescent="0.2">
      <c r="A14" s="6">
        <v>45953</v>
      </c>
      <c r="B14" s="7">
        <v>1234</v>
      </c>
      <c r="C14" s="8">
        <f t="shared" si="0"/>
        <v>0.61978905072827728</v>
      </c>
      <c r="F14" s="2" t="s">
        <v>44</v>
      </c>
      <c r="G14" s="2" t="s">
        <v>49</v>
      </c>
      <c r="H14" s="2" t="s">
        <v>46</v>
      </c>
      <c r="I14" s="9">
        <v>750.63</v>
      </c>
      <c r="J14" s="9">
        <v>111</v>
      </c>
      <c r="K14" s="10">
        <f>I14-J14</f>
        <v>639.63</v>
      </c>
      <c r="L14" s="11">
        <f>I14/K14-1</f>
        <v>0.17353782655597771</v>
      </c>
      <c r="M14" s="7">
        <v>763031</v>
      </c>
    </row>
    <row r="15" spans="1:13" x14ac:dyDescent="0.2">
      <c r="A15" s="6">
        <v>45954</v>
      </c>
      <c r="B15" s="7">
        <v>1256</v>
      </c>
      <c r="C15" s="8">
        <f t="shared" si="0"/>
        <v>0.63083877448518333</v>
      </c>
    </row>
    <row r="16" spans="1:13" x14ac:dyDescent="0.2">
      <c r="A16" s="6">
        <v>45957</v>
      </c>
      <c r="B16" s="7">
        <v>1271</v>
      </c>
      <c r="C16" s="8">
        <f t="shared" si="0"/>
        <v>0.63837267704671019</v>
      </c>
      <c r="F16" s="3" t="s">
        <v>50</v>
      </c>
    </row>
    <row r="17" spans="1:7" x14ac:dyDescent="0.2">
      <c r="A17" s="6">
        <v>45958</v>
      </c>
      <c r="B17" s="7">
        <v>1288</v>
      </c>
      <c r="C17" s="8">
        <f t="shared" si="0"/>
        <v>0.64691109994977403</v>
      </c>
      <c r="F17" s="2" t="s">
        <v>51</v>
      </c>
      <c r="G17" s="12">
        <f>INDEX(B:B,MATCH(DATE(2026,10,9),A:A,0))</f>
        <v>7964</v>
      </c>
    </row>
    <row r="18" spans="1:7" x14ac:dyDescent="0.2">
      <c r="A18" s="6">
        <v>45959</v>
      </c>
      <c r="B18" s="7">
        <v>1365</v>
      </c>
      <c r="C18" s="8">
        <f t="shared" si="0"/>
        <v>0.6855851330989452</v>
      </c>
      <c r="F18" s="2" t="s">
        <v>52</v>
      </c>
      <c r="G18" s="12">
        <f>INDEX(B:B,MATCH(DATE(2026,10,5),A:A,0))</f>
        <v>7185</v>
      </c>
    </row>
    <row r="19" spans="1:7" x14ac:dyDescent="0.2">
      <c r="A19" s="6">
        <v>45960</v>
      </c>
      <c r="B19" s="7">
        <v>1430</v>
      </c>
      <c r="C19" s="8">
        <f t="shared" si="0"/>
        <v>0.71823204419889508</v>
      </c>
      <c r="F19" s="2" t="s">
        <v>53</v>
      </c>
      <c r="G19" s="13">
        <f>G17/G18-1</f>
        <v>0.10842032011134317</v>
      </c>
    </row>
    <row r="20" spans="1:7" x14ac:dyDescent="0.2">
      <c r="A20" s="6">
        <v>45961</v>
      </c>
      <c r="B20" s="7">
        <v>1436</v>
      </c>
      <c r="C20" s="8">
        <f t="shared" si="0"/>
        <v>0.72124560522350578</v>
      </c>
      <c r="F20" s="2" t="s">
        <v>54</v>
      </c>
      <c r="G20" s="12">
        <f>B99</f>
        <v>1991</v>
      </c>
    </row>
    <row r="21" spans="1:7" x14ac:dyDescent="0.2">
      <c r="A21" s="6">
        <v>45964</v>
      </c>
      <c r="B21" s="7">
        <v>1436</v>
      </c>
      <c r="C21" s="8">
        <f t="shared" si="0"/>
        <v>0.72124560522350578</v>
      </c>
      <c r="F21" s="2" t="s">
        <v>55</v>
      </c>
      <c r="G21" s="14">
        <f>G17/G20</f>
        <v>4</v>
      </c>
    </row>
    <row r="22" spans="1:7" x14ac:dyDescent="0.2">
      <c r="A22" s="6">
        <v>45965</v>
      </c>
      <c r="B22" s="7">
        <v>1414</v>
      </c>
      <c r="C22" s="8">
        <f t="shared" si="0"/>
        <v>0.71019588146659973</v>
      </c>
      <c r="F22" s="2" t="s">
        <v>56</v>
      </c>
      <c r="G22" s="12">
        <f>INDEX(B:B,MATCH(DATE(2026,8,14),A:A,0))</f>
        <v>2742</v>
      </c>
    </row>
    <row r="23" spans="1:7" x14ac:dyDescent="0.2">
      <c r="A23" s="6">
        <v>45966</v>
      </c>
      <c r="B23" s="7">
        <v>1403</v>
      </c>
      <c r="C23" s="8">
        <f t="shared" si="0"/>
        <v>0.70467101958814671</v>
      </c>
      <c r="F23" s="2" t="s">
        <v>57</v>
      </c>
      <c r="G23" s="15">
        <f>G17/G22-1</f>
        <v>1.9044493070751276</v>
      </c>
    </row>
    <row r="24" spans="1:7" x14ac:dyDescent="0.2">
      <c r="A24" s="6">
        <v>45967</v>
      </c>
      <c r="B24" s="7">
        <v>1403</v>
      </c>
      <c r="C24" s="8">
        <f t="shared" si="0"/>
        <v>0.70467101958814671</v>
      </c>
    </row>
    <row r="25" spans="1:7" x14ac:dyDescent="0.2">
      <c r="A25" s="6">
        <v>45968</v>
      </c>
      <c r="B25" s="7">
        <v>1401</v>
      </c>
      <c r="C25" s="8">
        <f t="shared" si="0"/>
        <v>0.70366649924660973</v>
      </c>
    </row>
    <row r="26" spans="1:7" x14ac:dyDescent="0.2">
      <c r="A26" s="6">
        <v>45971</v>
      </c>
      <c r="B26" s="7">
        <v>1394</v>
      </c>
      <c r="C26" s="8">
        <f t="shared" si="0"/>
        <v>0.70015067805123055</v>
      </c>
    </row>
    <row r="27" spans="1:7" x14ac:dyDescent="0.2">
      <c r="A27" s="6">
        <v>45972</v>
      </c>
      <c r="B27" s="7">
        <v>1395</v>
      </c>
      <c r="C27" s="8">
        <f t="shared" si="0"/>
        <v>0.70065293822199903</v>
      </c>
    </row>
    <row r="28" spans="1:7" x14ac:dyDescent="0.2">
      <c r="A28" s="6">
        <v>45973</v>
      </c>
      <c r="B28" s="7">
        <v>1407</v>
      </c>
      <c r="C28" s="8">
        <f t="shared" si="0"/>
        <v>0.70668006027122054</v>
      </c>
    </row>
    <row r="29" spans="1:7" x14ac:dyDescent="0.2">
      <c r="A29" s="6">
        <v>45974</v>
      </c>
      <c r="B29" s="7">
        <v>1440</v>
      </c>
      <c r="C29" s="8">
        <f t="shared" si="0"/>
        <v>0.72325464590657962</v>
      </c>
    </row>
    <row r="30" spans="1:7" x14ac:dyDescent="0.2">
      <c r="A30" s="6">
        <v>45975</v>
      </c>
      <c r="B30" s="7">
        <v>1453</v>
      </c>
      <c r="C30" s="8">
        <f t="shared" si="0"/>
        <v>0.72978402812656962</v>
      </c>
    </row>
    <row r="31" spans="1:7" x14ac:dyDescent="0.2">
      <c r="A31" s="6">
        <v>45978</v>
      </c>
      <c r="B31" s="7">
        <v>1456</v>
      </c>
      <c r="C31" s="8">
        <f t="shared" si="0"/>
        <v>0.73129080863887497</v>
      </c>
    </row>
    <row r="32" spans="1:7" x14ac:dyDescent="0.2">
      <c r="A32" s="6">
        <v>45979</v>
      </c>
      <c r="B32" s="7">
        <v>1445</v>
      </c>
      <c r="C32" s="8">
        <f t="shared" si="0"/>
        <v>0.72576594676042194</v>
      </c>
    </row>
    <row r="33" spans="1:3" x14ac:dyDescent="0.2">
      <c r="A33" s="6">
        <v>45980</v>
      </c>
      <c r="B33" s="7">
        <v>1426</v>
      </c>
      <c r="C33" s="8">
        <f t="shared" si="0"/>
        <v>0.71622300351582124</v>
      </c>
    </row>
    <row r="34" spans="1:3" x14ac:dyDescent="0.2">
      <c r="A34" s="6">
        <v>45981</v>
      </c>
      <c r="B34" s="7">
        <v>1443</v>
      </c>
      <c r="C34" s="8">
        <f t="shared" si="0"/>
        <v>0.72476142641888497</v>
      </c>
    </row>
    <row r="35" spans="1:3" x14ac:dyDescent="0.2">
      <c r="A35" s="6">
        <v>45982</v>
      </c>
      <c r="B35" s="7">
        <v>1457</v>
      </c>
      <c r="C35" s="8">
        <f t="shared" si="0"/>
        <v>0.73179306880964334</v>
      </c>
    </row>
    <row r="36" spans="1:3" x14ac:dyDescent="0.2">
      <c r="A36" s="6">
        <v>45985</v>
      </c>
      <c r="B36" s="7">
        <v>1463</v>
      </c>
      <c r="C36" s="8">
        <f t="shared" si="0"/>
        <v>0.73480662983425415</v>
      </c>
    </row>
    <row r="37" spans="1:3" x14ac:dyDescent="0.2">
      <c r="A37" s="6">
        <v>45986</v>
      </c>
      <c r="B37" s="7">
        <v>1468</v>
      </c>
      <c r="C37" s="8">
        <f t="shared" si="0"/>
        <v>0.73731793068809648</v>
      </c>
    </row>
    <row r="38" spans="1:3" x14ac:dyDescent="0.2">
      <c r="A38" s="6">
        <v>45987</v>
      </c>
      <c r="B38" s="7">
        <v>1463</v>
      </c>
      <c r="C38" s="8">
        <f t="shared" si="0"/>
        <v>0.73480662983425415</v>
      </c>
    </row>
    <row r="39" spans="1:3" x14ac:dyDescent="0.2">
      <c r="A39" s="6">
        <v>45988</v>
      </c>
      <c r="B39" s="7">
        <v>1458</v>
      </c>
      <c r="C39" s="8">
        <f t="shared" si="0"/>
        <v>0.73229532898041183</v>
      </c>
    </row>
    <row r="40" spans="1:3" x14ac:dyDescent="0.2">
      <c r="A40" s="6">
        <v>45989</v>
      </c>
      <c r="B40" s="7">
        <v>1452</v>
      </c>
      <c r="C40" s="8">
        <f t="shared" si="0"/>
        <v>0.72928176795580113</v>
      </c>
    </row>
    <row r="41" spans="1:3" x14ac:dyDescent="0.2">
      <c r="A41" s="6">
        <v>45992</v>
      </c>
      <c r="B41" s="7">
        <v>1432</v>
      </c>
      <c r="C41" s="8">
        <f t="shared" si="0"/>
        <v>0.71923656454043194</v>
      </c>
    </row>
    <row r="42" spans="1:3" x14ac:dyDescent="0.2">
      <c r="A42" s="6">
        <v>45993</v>
      </c>
      <c r="B42" s="7">
        <v>1420</v>
      </c>
      <c r="C42" s="8">
        <f t="shared" si="0"/>
        <v>0.71320944249121043</v>
      </c>
    </row>
    <row r="43" spans="1:3" x14ac:dyDescent="0.2">
      <c r="A43" s="6">
        <v>45994</v>
      </c>
      <c r="B43" s="7">
        <v>1407</v>
      </c>
      <c r="C43" s="8">
        <f t="shared" si="0"/>
        <v>0.70668006027122054</v>
      </c>
    </row>
    <row r="44" spans="1:3" x14ac:dyDescent="0.2">
      <c r="A44" s="6">
        <v>45995</v>
      </c>
      <c r="B44" s="7">
        <v>1395</v>
      </c>
      <c r="C44" s="8">
        <f t="shared" si="0"/>
        <v>0.70065293822199903</v>
      </c>
    </row>
    <row r="45" spans="1:3" x14ac:dyDescent="0.2">
      <c r="A45" s="6">
        <v>45996</v>
      </c>
      <c r="B45" s="7">
        <v>1384</v>
      </c>
      <c r="C45" s="8">
        <f t="shared" si="0"/>
        <v>0.69512807634354601</v>
      </c>
    </row>
    <row r="46" spans="1:3" x14ac:dyDescent="0.2">
      <c r="A46" s="6">
        <v>45999</v>
      </c>
      <c r="B46" s="7">
        <v>1380</v>
      </c>
      <c r="C46" s="8">
        <f t="shared" si="0"/>
        <v>0.69311903566047217</v>
      </c>
    </row>
    <row r="47" spans="1:3" x14ac:dyDescent="0.2">
      <c r="A47" s="6">
        <v>46000</v>
      </c>
      <c r="B47" s="7">
        <v>1371</v>
      </c>
      <c r="C47" s="8">
        <f t="shared" si="0"/>
        <v>0.68859869412355601</v>
      </c>
    </row>
    <row r="48" spans="1:3" x14ac:dyDescent="0.2">
      <c r="A48" s="6">
        <v>46001</v>
      </c>
      <c r="B48" s="7">
        <v>1379</v>
      </c>
      <c r="C48" s="8">
        <f t="shared" si="0"/>
        <v>0.69261677548970368</v>
      </c>
    </row>
    <row r="49" spans="1:3" x14ac:dyDescent="0.2">
      <c r="A49" s="6">
        <v>46002</v>
      </c>
      <c r="B49" s="7">
        <v>1392</v>
      </c>
      <c r="C49" s="8">
        <f t="shared" si="0"/>
        <v>0.69914615770969357</v>
      </c>
    </row>
    <row r="50" spans="1:3" x14ac:dyDescent="0.2">
      <c r="A50" s="6">
        <v>46003</v>
      </c>
      <c r="B50" s="7">
        <v>1396</v>
      </c>
      <c r="C50" s="8">
        <f t="shared" si="0"/>
        <v>0.70115519839276741</v>
      </c>
    </row>
    <row r="51" spans="1:3" x14ac:dyDescent="0.2">
      <c r="A51" s="6">
        <v>46006</v>
      </c>
      <c r="B51" s="7">
        <v>1392</v>
      </c>
      <c r="C51" s="8">
        <f t="shared" si="0"/>
        <v>0.69914615770969357</v>
      </c>
    </row>
    <row r="52" spans="1:3" x14ac:dyDescent="0.2">
      <c r="A52" s="6">
        <v>46007</v>
      </c>
      <c r="B52" s="7">
        <v>1389</v>
      </c>
      <c r="C52" s="8">
        <f t="shared" si="0"/>
        <v>0.69763937719738822</v>
      </c>
    </row>
    <row r="53" spans="1:3" x14ac:dyDescent="0.2">
      <c r="A53" s="6">
        <v>46008</v>
      </c>
      <c r="B53" s="7">
        <v>1414</v>
      </c>
      <c r="C53" s="8">
        <f t="shared" si="0"/>
        <v>0.71019588146659973</v>
      </c>
    </row>
    <row r="54" spans="1:3" x14ac:dyDescent="0.2">
      <c r="A54" s="6">
        <v>46009</v>
      </c>
      <c r="B54" s="7">
        <v>1402</v>
      </c>
      <c r="C54" s="8">
        <f t="shared" si="0"/>
        <v>0.70416875941737822</v>
      </c>
    </row>
    <row r="55" spans="1:3" x14ac:dyDescent="0.2">
      <c r="A55" s="6">
        <v>46010</v>
      </c>
      <c r="B55" s="7">
        <v>1401</v>
      </c>
      <c r="C55" s="8">
        <f t="shared" si="0"/>
        <v>0.70366649924660973</v>
      </c>
    </row>
    <row r="56" spans="1:3" x14ac:dyDescent="0.2">
      <c r="A56" s="6">
        <v>46013</v>
      </c>
      <c r="B56" s="7">
        <v>1387</v>
      </c>
      <c r="C56" s="8">
        <f t="shared" si="0"/>
        <v>0.69663485685585136</v>
      </c>
    </row>
    <row r="57" spans="1:3" x14ac:dyDescent="0.2">
      <c r="A57" s="6">
        <v>46014</v>
      </c>
      <c r="B57" s="7">
        <v>1343</v>
      </c>
      <c r="C57" s="8">
        <f t="shared" si="0"/>
        <v>0.67453540934203915</v>
      </c>
    </row>
    <row r="58" spans="1:3" x14ac:dyDescent="0.2">
      <c r="A58" s="6">
        <v>46015</v>
      </c>
      <c r="B58" s="7">
        <v>1319</v>
      </c>
      <c r="C58" s="8">
        <f t="shared" si="0"/>
        <v>0.66248116524359624</v>
      </c>
    </row>
    <row r="59" spans="1:3" x14ac:dyDescent="0.2">
      <c r="A59" s="6">
        <v>46024</v>
      </c>
      <c r="B59" s="7">
        <v>1207</v>
      </c>
      <c r="C59" s="8">
        <f t="shared" si="0"/>
        <v>0.60622802611752891</v>
      </c>
    </row>
    <row r="60" spans="1:3" x14ac:dyDescent="0.2">
      <c r="A60" s="6">
        <v>46027</v>
      </c>
      <c r="B60" s="7">
        <v>1188</v>
      </c>
      <c r="C60" s="8">
        <f t="shared" si="0"/>
        <v>0.59668508287292821</v>
      </c>
    </row>
    <row r="61" spans="1:3" x14ac:dyDescent="0.2">
      <c r="A61" s="6">
        <v>46028</v>
      </c>
      <c r="B61" s="7">
        <v>1181</v>
      </c>
      <c r="C61" s="8">
        <f t="shared" si="0"/>
        <v>0.59316926167754902</v>
      </c>
    </row>
    <row r="62" spans="1:3" x14ac:dyDescent="0.2">
      <c r="A62" s="6">
        <v>46029</v>
      </c>
      <c r="B62" s="7">
        <v>1165</v>
      </c>
      <c r="C62" s="8">
        <f t="shared" si="0"/>
        <v>0.58513309894525367</v>
      </c>
    </row>
    <row r="63" spans="1:3" x14ac:dyDescent="0.2">
      <c r="A63" s="6">
        <v>46030</v>
      </c>
      <c r="B63" s="7">
        <v>1211</v>
      </c>
      <c r="C63" s="8">
        <f t="shared" si="0"/>
        <v>0.60823706680060274</v>
      </c>
    </row>
    <row r="64" spans="1:3" x14ac:dyDescent="0.2">
      <c r="A64" s="6">
        <v>46031</v>
      </c>
      <c r="B64" s="7">
        <v>1259</v>
      </c>
      <c r="C64" s="8">
        <f t="shared" si="0"/>
        <v>0.63234555499748868</v>
      </c>
    </row>
    <row r="65" spans="1:3" x14ac:dyDescent="0.2">
      <c r="A65" s="6">
        <v>46034</v>
      </c>
      <c r="B65" s="7">
        <v>1296</v>
      </c>
      <c r="C65" s="8">
        <f t="shared" si="0"/>
        <v>0.6509291813159217</v>
      </c>
    </row>
    <row r="66" spans="1:3" x14ac:dyDescent="0.2">
      <c r="A66" s="6">
        <v>46035</v>
      </c>
      <c r="B66" s="7">
        <v>1347</v>
      </c>
      <c r="C66" s="8">
        <f t="shared" si="0"/>
        <v>0.67654445002511299</v>
      </c>
    </row>
    <row r="67" spans="1:3" x14ac:dyDescent="0.2">
      <c r="A67" s="6">
        <v>46036</v>
      </c>
      <c r="B67" s="7">
        <v>1410</v>
      </c>
      <c r="C67" s="8">
        <f t="shared" si="0"/>
        <v>0.70818684078352589</v>
      </c>
    </row>
    <row r="68" spans="1:3" x14ac:dyDescent="0.2">
      <c r="A68" s="6">
        <v>46037</v>
      </c>
      <c r="B68" s="7">
        <v>1500</v>
      </c>
      <c r="C68" s="8">
        <f t="shared" si="0"/>
        <v>0.75339025615268707</v>
      </c>
    </row>
    <row r="69" spans="1:3" x14ac:dyDescent="0.2">
      <c r="A69" s="6">
        <v>46038</v>
      </c>
      <c r="B69" s="7">
        <v>1562</v>
      </c>
      <c r="C69" s="8">
        <f t="shared" si="0"/>
        <v>0.78453038674033149</v>
      </c>
    </row>
    <row r="70" spans="1:3" x14ac:dyDescent="0.2">
      <c r="A70" s="6">
        <v>46041</v>
      </c>
      <c r="B70" s="7">
        <v>1598</v>
      </c>
      <c r="C70" s="8">
        <f t="shared" ref="C70:C133" si="1">B70/$B$99</f>
        <v>0.80261175288799602</v>
      </c>
    </row>
    <row r="71" spans="1:3" x14ac:dyDescent="0.2">
      <c r="A71" s="6">
        <v>46042</v>
      </c>
      <c r="B71" s="7">
        <v>1572</v>
      </c>
      <c r="C71" s="8">
        <f t="shared" si="1"/>
        <v>0.78955298844801602</v>
      </c>
    </row>
    <row r="72" spans="1:3" x14ac:dyDescent="0.2">
      <c r="A72" s="6">
        <v>46043</v>
      </c>
      <c r="B72" s="7">
        <v>1588</v>
      </c>
      <c r="C72" s="8">
        <f t="shared" si="1"/>
        <v>0.79758915118031137</v>
      </c>
    </row>
    <row r="73" spans="1:3" x14ac:dyDescent="0.2">
      <c r="A73" s="6">
        <v>46044</v>
      </c>
      <c r="B73" s="7">
        <v>1619</v>
      </c>
      <c r="C73" s="8">
        <f t="shared" si="1"/>
        <v>0.81315921647413358</v>
      </c>
    </row>
    <row r="74" spans="1:3" x14ac:dyDescent="0.2">
      <c r="A74" s="6">
        <v>46045</v>
      </c>
      <c r="B74" s="7">
        <v>1626</v>
      </c>
      <c r="C74" s="8">
        <f t="shared" si="1"/>
        <v>0.81667503766951277</v>
      </c>
    </row>
    <row r="75" spans="1:3" x14ac:dyDescent="0.2">
      <c r="A75" s="6">
        <v>46048</v>
      </c>
      <c r="B75" s="7">
        <v>1631</v>
      </c>
      <c r="C75" s="8">
        <f t="shared" si="1"/>
        <v>0.8191863385233551</v>
      </c>
    </row>
    <row r="76" spans="1:3" x14ac:dyDescent="0.2">
      <c r="A76" s="6">
        <v>46049</v>
      </c>
      <c r="B76" s="7">
        <v>1646</v>
      </c>
      <c r="C76" s="8">
        <f t="shared" si="1"/>
        <v>0.82672024108488196</v>
      </c>
    </row>
    <row r="77" spans="1:3" x14ac:dyDescent="0.2">
      <c r="A77" s="6">
        <v>46050</v>
      </c>
      <c r="B77" s="7">
        <v>1646</v>
      </c>
      <c r="C77" s="8">
        <f t="shared" si="1"/>
        <v>0.82672024108488196</v>
      </c>
    </row>
    <row r="78" spans="1:3" x14ac:dyDescent="0.2">
      <c r="A78" s="6">
        <v>46051</v>
      </c>
      <c r="B78" s="7">
        <v>1653</v>
      </c>
      <c r="C78" s="8">
        <f t="shared" si="1"/>
        <v>0.83023606228026114</v>
      </c>
    </row>
    <row r="79" spans="1:3" x14ac:dyDescent="0.2">
      <c r="A79" s="6">
        <v>46052</v>
      </c>
      <c r="B79" s="7">
        <v>1702</v>
      </c>
      <c r="C79" s="8">
        <f t="shared" si="1"/>
        <v>0.85484681064791557</v>
      </c>
    </row>
    <row r="80" spans="1:3" x14ac:dyDescent="0.2">
      <c r="A80" s="6">
        <v>46055</v>
      </c>
      <c r="B80" s="7">
        <v>1732</v>
      </c>
      <c r="C80" s="8">
        <f t="shared" si="1"/>
        <v>0.8699146157709694</v>
      </c>
    </row>
    <row r="81" spans="1:3" x14ac:dyDescent="0.2">
      <c r="A81" s="6">
        <v>46056</v>
      </c>
      <c r="B81" s="7">
        <v>1672</v>
      </c>
      <c r="C81" s="8">
        <f t="shared" si="1"/>
        <v>0.83977900552486184</v>
      </c>
    </row>
    <row r="82" spans="1:3" x14ac:dyDescent="0.2">
      <c r="A82" s="6">
        <v>46057</v>
      </c>
      <c r="B82" s="7">
        <v>1678</v>
      </c>
      <c r="C82" s="8">
        <f t="shared" si="1"/>
        <v>0.84279256654947265</v>
      </c>
    </row>
    <row r="83" spans="1:3" x14ac:dyDescent="0.2">
      <c r="A83" s="6">
        <v>46058</v>
      </c>
      <c r="B83" s="7">
        <v>1679</v>
      </c>
      <c r="C83" s="8">
        <f t="shared" si="1"/>
        <v>0.84329482672024103</v>
      </c>
    </row>
    <row r="84" spans="1:3" x14ac:dyDescent="0.2">
      <c r="A84" s="6">
        <v>46059</v>
      </c>
      <c r="B84" s="7">
        <v>1691</v>
      </c>
      <c r="C84" s="8">
        <f t="shared" si="1"/>
        <v>0.84932194876946254</v>
      </c>
    </row>
    <row r="85" spans="1:3" x14ac:dyDescent="0.2">
      <c r="A85" s="6">
        <v>46062</v>
      </c>
      <c r="B85" s="7">
        <v>1710</v>
      </c>
      <c r="C85" s="8">
        <f t="shared" si="1"/>
        <v>0.85886489201406324</v>
      </c>
    </row>
    <row r="86" spans="1:3" x14ac:dyDescent="0.2">
      <c r="A86" s="6">
        <v>46063</v>
      </c>
      <c r="B86" s="7">
        <v>1727</v>
      </c>
      <c r="C86" s="8">
        <f t="shared" si="1"/>
        <v>0.86740331491712708</v>
      </c>
    </row>
    <row r="87" spans="1:3" x14ac:dyDescent="0.2">
      <c r="A87" s="6">
        <v>46064</v>
      </c>
      <c r="B87" s="7">
        <v>1721</v>
      </c>
      <c r="C87" s="8">
        <f t="shared" si="1"/>
        <v>0.86438975389251638</v>
      </c>
    </row>
    <row r="88" spans="1:3" x14ac:dyDescent="0.2">
      <c r="A88" s="6">
        <v>46065</v>
      </c>
      <c r="B88" s="7">
        <v>1713</v>
      </c>
      <c r="C88" s="8">
        <f t="shared" si="1"/>
        <v>0.8603716725263687</v>
      </c>
    </row>
    <row r="89" spans="1:3" x14ac:dyDescent="0.2">
      <c r="A89" s="6">
        <v>46066</v>
      </c>
      <c r="B89" s="7">
        <v>1719</v>
      </c>
      <c r="C89" s="8">
        <f t="shared" si="1"/>
        <v>0.8633852335509794</v>
      </c>
    </row>
    <row r="90" spans="1:3" x14ac:dyDescent="0.2">
      <c r="A90" s="6">
        <v>46069</v>
      </c>
      <c r="B90" s="7">
        <v>1739</v>
      </c>
      <c r="C90" s="8">
        <f t="shared" si="1"/>
        <v>0.87343043696634859</v>
      </c>
    </row>
    <row r="91" spans="1:3" x14ac:dyDescent="0.2">
      <c r="A91" s="6">
        <v>46070</v>
      </c>
      <c r="B91" s="7">
        <v>1747</v>
      </c>
      <c r="C91" s="8">
        <f t="shared" si="1"/>
        <v>0.87744851833249626</v>
      </c>
    </row>
    <row r="92" spans="1:3" x14ac:dyDescent="0.2">
      <c r="A92" s="6">
        <v>46071</v>
      </c>
      <c r="B92" s="7">
        <v>1743</v>
      </c>
      <c r="C92" s="8">
        <f t="shared" si="1"/>
        <v>0.87543947764942243</v>
      </c>
    </row>
    <row r="93" spans="1:3" x14ac:dyDescent="0.2">
      <c r="A93" s="6">
        <v>46072</v>
      </c>
      <c r="B93" s="7">
        <v>1766</v>
      </c>
      <c r="C93" s="8">
        <f t="shared" si="1"/>
        <v>0.88699146157709696</v>
      </c>
    </row>
    <row r="94" spans="1:3" x14ac:dyDescent="0.2">
      <c r="A94" s="6">
        <v>46073</v>
      </c>
      <c r="B94" s="7">
        <v>1787</v>
      </c>
      <c r="C94" s="8">
        <f t="shared" si="1"/>
        <v>0.89753892516323452</v>
      </c>
    </row>
    <row r="95" spans="1:3" x14ac:dyDescent="0.2">
      <c r="A95" s="6">
        <v>46076</v>
      </c>
      <c r="B95" s="7">
        <v>1809</v>
      </c>
      <c r="C95" s="8">
        <f t="shared" si="1"/>
        <v>0.90858864892014068</v>
      </c>
    </row>
    <row r="96" spans="1:3" x14ac:dyDescent="0.2">
      <c r="A96" s="6">
        <v>46077</v>
      </c>
      <c r="B96" s="7">
        <v>1842</v>
      </c>
      <c r="C96" s="8">
        <f t="shared" si="1"/>
        <v>0.92516323455549976</v>
      </c>
    </row>
    <row r="97" spans="1:3" x14ac:dyDescent="0.2">
      <c r="A97" s="6">
        <v>46078</v>
      </c>
      <c r="B97" s="7">
        <v>1885</v>
      </c>
      <c r="C97" s="8">
        <f t="shared" si="1"/>
        <v>0.94676042189854348</v>
      </c>
    </row>
    <row r="98" spans="1:3" x14ac:dyDescent="0.2">
      <c r="A98" s="6">
        <v>46079</v>
      </c>
      <c r="B98" s="7">
        <v>1944</v>
      </c>
      <c r="C98" s="8">
        <f t="shared" si="1"/>
        <v>0.97639377197388244</v>
      </c>
    </row>
    <row r="99" spans="1:3" x14ac:dyDescent="0.2">
      <c r="A99" s="6">
        <v>46080</v>
      </c>
      <c r="B99" s="7">
        <v>1991</v>
      </c>
      <c r="C99" s="8">
        <f t="shared" si="1"/>
        <v>1</v>
      </c>
    </row>
    <row r="100" spans="1:3" x14ac:dyDescent="0.2">
      <c r="A100" s="6">
        <v>46083</v>
      </c>
      <c r="B100" s="7">
        <v>2322</v>
      </c>
      <c r="C100" s="8">
        <f t="shared" si="1"/>
        <v>1.1662481165243597</v>
      </c>
    </row>
    <row r="101" spans="1:3" x14ac:dyDescent="0.2">
      <c r="A101" s="6">
        <v>46084</v>
      </c>
      <c r="B101" s="7">
        <v>2866</v>
      </c>
      <c r="C101" s="8">
        <f t="shared" si="1"/>
        <v>1.4394776494224009</v>
      </c>
    </row>
    <row r="102" spans="1:3" x14ac:dyDescent="0.2">
      <c r="A102" s="6">
        <v>46085</v>
      </c>
      <c r="B102" s="7">
        <v>3002</v>
      </c>
      <c r="C102" s="8">
        <f t="shared" si="1"/>
        <v>1.5077850326469111</v>
      </c>
    </row>
    <row r="103" spans="1:3" x14ac:dyDescent="0.2">
      <c r="A103" s="6">
        <v>46086</v>
      </c>
      <c r="B103" s="7">
        <v>3083</v>
      </c>
      <c r="C103" s="8">
        <f t="shared" si="1"/>
        <v>1.5484681064791561</v>
      </c>
    </row>
    <row r="104" spans="1:3" x14ac:dyDescent="0.2">
      <c r="A104" s="6">
        <v>46087</v>
      </c>
      <c r="B104" s="7">
        <v>3069</v>
      </c>
      <c r="C104" s="8">
        <f t="shared" si="1"/>
        <v>1.5414364640883977</v>
      </c>
    </row>
    <row r="105" spans="1:3" x14ac:dyDescent="0.2">
      <c r="A105" s="6">
        <v>46090</v>
      </c>
      <c r="B105" s="7">
        <v>3040</v>
      </c>
      <c r="C105" s="8">
        <f t="shared" si="1"/>
        <v>1.5268709191361125</v>
      </c>
    </row>
    <row r="106" spans="1:3" x14ac:dyDescent="0.2">
      <c r="A106" s="6">
        <v>46091</v>
      </c>
      <c r="B106" s="7">
        <v>2924</v>
      </c>
      <c r="C106" s="8">
        <f t="shared" si="1"/>
        <v>1.4686087393269713</v>
      </c>
    </row>
    <row r="107" spans="1:3" x14ac:dyDescent="0.2">
      <c r="A107" s="6">
        <v>46092</v>
      </c>
      <c r="B107" s="7">
        <v>2835</v>
      </c>
      <c r="C107" s="8">
        <f t="shared" si="1"/>
        <v>1.4239075841285787</v>
      </c>
    </row>
    <row r="108" spans="1:3" x14ac:dyDescent="0.2">
      <c r="A108" s="6">
        <v>46093</v>
      </c>
      <c r="B108" s="7">
        <v>2684</v>
      </c>
      <c r="C108" s="8">
        <f t="shared" si="1"/>
        <v>1.3480662983425415</v>
      </c>
    </row>
    <row r="109" spans="1:3" x14ac:dyDescent="0.2">
      <c r="A109" s="6">
        <v>46094</v>
      </c>
      <c r="B109" s="7">
        <v>2586</v>
      </c>
      <c r="C109" s="8">
        <f t="shared" si="1"/>
        <v>1.2988448016072325</v>
      </c>
    </row>
    <row r="110" spans="1:3" x14ac:dyDescent="0.2">
      <c r="A110" s="6">
        <v>46097</v>
      </c>
      <c r="B110" s="7">
        <v>2849</v>
      </c>
      <c r="C110" s="8">
        <f t="shared" si="1"/>
        <v>1.430939226519337</v>
      </c>
    </row>
    <row r="111" spans="1:3" x14ac:dyDescent="0.2">
      <c r="A111" s="6">
        <v>46098</v>
      </c>
      <c r="B111" s="7">
        <v>2850</v>
      </c>
      <c r="C111" s="8">
        <f t="shared" si="1"/>
        <v>1.4314414866901055</v>
      </c>
    </row>
    <row r="112" spans="1:3" x14ac:dyDescent="0.2">
      <c r="A112" s="6">
        <v>46099</v>
      </c>
      <c r="B112" s="7">
        <v>2743</v>
      </c>
      <c r="C112" s="8">
        <f t="shared" si="1"/>
        <v>1.3776996484178805</v>
      </c>
    </row>
    <row r="113" spans="1:3" x14ac:dyDescent="0.2">
      <c r="A113" s="6">
        <v>46100</v>
      </c>
      <c r="B113" s="7">
        <v>2842</v>
      </c>
      <c r="C113" s="8">
        <f t="shared" si="1"/>
        <v>1.4274234053239578</v>
      </c>
    </row>
    <row r="114" spans="1:3" x14ac:dyDescent="0.2">
      <c r="A114" s="6">
        <v>46101</v>
      </c>
      <c r="B114" s="7">
        <v>2962</v>
      </c>
      <c r="C114" s="8">
        <f t="shared" si="1"/>
        <v>1.4876946258161727</v>
      </c>
    </row>
    <row r="115" spans="1:3" x14ac:dyDescent="0.2">
      <c r="A115" s="6">
        <v>46104</v>
      </c>
      <c r="B115" s="7">
        <v>3120</v>
      </c>
      <c r="C115" s="8">
        <f t="shared" si="1"/>
        <v>1.5670517327975892</v>
      </c>
    </row>
    <row r="116" spans="1:3" x14ac:dyDescent="0.2">
      <c r="A116" s="6">
        <v>46105</v>
      </c>
      <c r="B116" s="7">
        <v>3572</v>
      </c>
      <c r="C116" s="8">
        <f t="shared" si="1"/>
        <v>1.7940733299849323</v>
      </c>
    </row>
    <row r="117" spans="1:3" x14ac:dyDescent="0.2">
      <c r="A117" s="6">
        <v>46106</v>
      </c>
      <c r="B117" s="7">
        <v>3618</v>
      </c>
      <c r="C117" s="8">
        <f t="shared" si="1"/>
        <v>1.8171772978402814</v>
      </c>
    </row>
    <row r="118" spans="1:3" x14ac:dyDescent="0.2">
      <c r="A118" s="6">
        <v>46107</v>
      </c>
      <c r="B118" s="7">
        <v>3716</v>
      </c>
      <c r="C118" s="8">
        <f t="shared" si="1"/>
        <v>1.8663987945755902</v>
      </c>
    </row>
    <row r="119" spans="1:3" x14ac:dyDescent="0.2">
      <c r="A119" s="6">
        <v>46108</v>
      </c>
      <c r="B119" s="7">
        <v>3737</v>
      </c>
      <c r="C119" s="8">
        <f t="shared" si="1"/>
        <v>1.8769462581617278</v>
      </c>
    </row>
    <row r="120" spans="1:3" x14ac:dyDescent="0.2">
      <c r="A120" s="6">
        <v>46111</v>
      </c>
      <c r="B120" s="7">
        <v>3723</v>
      </c>
      <c r="C120" s="8">
        <f t="shared" si="1"/>
        <v>1.8699146157709694</v>
      </c>
    </row>
    <row r="121" spans="1:3" x14ac:dyDescent="0.2">
      <c r="A121" s="6">
        <v>46112</v>
      </c>
      <c r="B121" s="7">
        <v>3705</v>
      </c>
      <c r="C121" s="8">
        <f t="shared" si="1"/>
        <v>1.8608739326971371</v>
      </c>
    </row>
    <row r="122" spans="1:3" x14ac:dyDescent="0.2">
      <c r="A122" s="6">
        <v>46113</v>
      </c>
      <c r="B122" s="7">
        <v>3678</v>
      </c>
      <c r="C122" s="8">
        <f t="shared" si="1"/>
        <v>1.8473129080863888</v>
      </c>
    </row>
    <row r="123" spans="1:3" x14ac:dyDescent="0.2">
      <c r="A123" s="6">
        <v>46114</v>
      </c>
      <c r="B123" s="7">
        <v>3639</v>
      </c>
      <c r="C123" s="8">
        <f t="shared" si="1"/>
        <v>1.8277247614264189</v>
      </c>
    </row>
    <row r="124" spans="1:3" x14ac:dyDescent="0.2">
      <c r="A124" s="6">
        <v>46119</v>
      </c>
      <c r="B124" s="7">
        <v>3498</v>
      </c>
      <c r="C124" s="8">
        <f t="shared" si="1"/>
        <v>1.7569060773480663</v>
      </c>
    </row>
    <row r="125" spans="1:3" x14ac:dyDescent="0.2">
      <c r="A125" s="6">
        <v>46120</v>
      </c>
      <c r="B125" s="7">
        <v>3593</v>
      </c>
      <c r="C125" s="8">
        <f t="shared" si="1"/>
        <v>1.8046207935710699</v>
      </c>
    </row>
    <row r="126" spans="1:3" x14ac:dyDescent="0.2">
      <c r="A126" s="6">
        <v>46121</v>
      </c>
      <c r="B126" s="7">
        <v>3658</v>
      </c>
      <c r="C126" s="8">
        <f t="shared" si="1"/>
        <v>1.8372677046710195</v>
      </c>
    </row>
    <row r="127" spans="1:3" x14ac:dyDescent="0.2">
      <c r="A127" s="6">
        <v>46122</v>
      </c>
      <c r="B127" s="7">
        <v>3561</v>
      </c>
      <c r="C127" s="8">
        <f t="shared" si="1"/>
        <v>1.7885484681064792</v>
      </c>
    </row>
    <row r="128" spans="1:3" x14ac:dyDescent="0.2">
      <c r="A128" s="6">
        <v>46125</v>
      </c>
      <c r="B128" s="7">
        <v>3422</v>
      </c>
      <c r="C128" s="8">
        <f t="shared" si="1"/>
        <v>1.7187343043696635</v>
      </c>
    </row>
    <row r="129" spans="1:3" x14ac:dyDescent="0.2">
      <c r="A129" s="6">
        <v>46126</v>
      </c>
      <c r="B129" s="7">
        <v>3275</v>
      </c>
      <c r="C129" s="8">
        <f t="shared" si="1"/>
        <v>1.6449020592667001</v>
      </c>
    </row>
    <row r="130" spans="1:3" x14ac:dyDescent="0.2">
      <c r="A130" s="6">
        <v>46127</v>
      </c>
      <c r="B130" s="7">
        <v>3111</v>
      </c>
      <c r="C130" s="8">
        <f t="shared" si="1"/>
        <v>1.5625313912606731</v>
      </c>
    </row>
    <row r="131" spans="1:3" x14ac:dyDescent="0.2">
      <c r="A131" s="6">
        <v>46128</v>
      </c>
      <c r="B131" s="7">
        <v>2975</v>
      </c>
      <c r="C131" s="8">
        <f t="shared" si="1"/>
        <v>1.4942240080361628</v>
      </c>
    </row>
    <row r="132" spans="1:3" x14ac:dyDescent="0.2">
      <c r="A132" s="6">
        <v>46129</v>
      </c>
      <c r="B132" s="7">
        <v>2831</v>
      </c>
      <c r="C132" s="8">
        <f t="shared" si="1"/>
        <v>1.4218985434455047</v>
      </c>
    </row>
    <row r="133" spans="1:3" x14ac:dyDescent="0.2">
      <c r="A133" s="6">
        <v>46132</v>
      </c>
      <c r="B133" s="7">
        <v>2907</v>
      </c>
      <c r="C133" s="8">
        <f t="shared" si="1"/>
        <v>1.4600703164239075</v>
      </c>
    </row>
    <row r="134" spans="1:3" x14ac:dyDescent="0.2">
      <c r="A134" s="6">
        <v>46133</v>
      </c>
      <c r="B134" s="7">
        <v>2865</v>
      </c>
      <c r="C134" s="8">
        <f t="shared" ref="C134:C197" si="2">B134/$B$99</f>
        <v>1.4389753892516324</v>
      </c>
    </row>
    <row r="135" spans="1:3" x14ac:dyDescent="0.2">
      <c r="A135" s="6">
        <v>46134</v>
      </c>
      <c r="B135" s="7">
        <v>2854</v>
      </c>
      <c r="C135" s="8">
        <f t="shared" si="2"/>
        <v>1.4334505273731792</v>
      </c>
    </row>
    <row r="136" spans="1:3" x14ac:dyDescent="0.2">
      <c r="A136" s="6">
        <v>46135</v>
      </c>
      <c r="B136" s="7">
        <v>2837</v>
      </c>
      <c r="C136" s="8">
        <f t="shared" si="2"/>
        <v>1.4249121044701156</v>
      </c>
    </row>
    <row r="137" spans="1:3" x14ac:dyDescent="0.2">
      <c r="A137" s="6">
        <v>46136</v>
      </c>
      <c r="B137" s="7">
        <v>2812</v>
      </c>
      <c r="C137" s="8">
        <f t="shared" si="2"/>
        <v>1.4123556002009041</v>
      </c>
    </row>
    <row r="138" spans="1:3" x14ac:dyDescent="0.2">
      <c r="A138" s="6">
        <v>46139</v>
      </c>
      <c r="B138" s="7">
        <v>2811</v>
      </c>
      <c r="C138" s="8">
        <f t="shared" si="2"/>
        <v>1.4118533400301356</v>
      </c>
    </row>
    <row r="139" spans="1:3" x14ac:dyDescent="0.2">
      <c r="A139" s="6">
        <v>46140</v>
      </c>
      <c r="B139" s="7">
        <v>2834</v>
      </c>
      <c r="C139" s="8">
        <f t="shared" si="2"/>
        <v>1.4234053239578102</v>
      </c>
    </row>
    <row r="140" spans="1:3" x14ac:dyDescent="0.2">
      <c r="A140" s="6">
        <v>46141</v>
      </c>
      <c r="B140" s="7">
        <v>2795</v>
      </c>
      <c r="C140" s="8">
        <f t="shared" si="2"/>
        <v>1.4038171772978403</v>
      </c>
    </row>
    <row r="141" spans="1:3" x14ac:dyDescent="0.2">
      <c r="A141" s="6">
        <v>46142</v>
      </c>
      <c r="B141" s="7">
        <v>2767</v>
      </c>
      <c r="C141" s="8">
        <f t="shared" si="2"/>
        <v>1.3897538925163235</v>
      </c>
    </row>
    <row r="142" spans="1:3" x14ac:dyDescent="0.2">
      <c r="A142" s="6">
        <v>46143</v>
      </c>
      <c r="B142" s="7">
        <v>2752</v>
      </c>
      <c r="C142" s="8">
        <f t="shared" si="2"/>
        <v>1.3822199899547967</v>
      </c>
    </row>
    <row r="143" spans="1:3" x14ac:dyDescent="0.2">
      <c r="A143" s="6">
        <v>46147</v>
      </c>
      <c r="B143" s="7">
        <v>2841</v>
      </c>
      <c r="C143" s="8">
        <f t="shared" si="2"/>
        <v>1.4269211451531894</v>
      </c>
    </row>
    <row r="144" spans="1:3" x14ac:dyDescent="0.2">
      <c r="A144" s="6">
        <v>46148</v>
      </c>
      <c r="B144" s="7">
        <v>2676</v>
      </c>
      <c r="C144" s="8">
        <f t="shared" si="2"/>
        <v>1.3440482169763939</v>
      </c>
    </row>
    <row r="145" spans="1:3" x14ac:dyDescent="0.2">
      <c r="A145" s="6">
        <v>46149</v>
      </c>
      <c r="B145" s="7">
        <v>2629</v>
      </c>
      <c r="C145" s="8">
        <f t="shared" si="2"/>
        <v>1.3204419889502763</v>
      </c>
    </row>
    <row r="146" spans="1:3" x14ac:dyDescent="0.2">
      <c r="A146" s="6">
        <v>46150</v>
      </c>
      <c r="B146" s="7">
        <v>2574</v>
      </c>
      <c r="C146" s="8">
        <f t="shared" si="2"/>
        <v>1.2928176795580111</v>
      </c>
    </row>
    <row r="147" spans="1:3" x14ac:dyDescent="0.2">
      <c r="A147" s="6">
        <v>46153</v>
      </c>
      <c r="B147" s="7">
        <v>2528</v>
      </c>
      <c r="C147" s="8">
        <f t="shared" si="2"/>
        <v>1.269713711702662</v>
      </c>
    </row>
    <row r="148" spans="1:3" x14ac:dyDescent="0.2">
      <c r="A148" s="6">
        <v>46154</v>
      </c>
      <c r="B148" s="7">
        <v>2463</v>
      </c>
      <c r="C148" s="8">
        <f t="shared" si="2"/>
        <v>1.2370668006027121</v>
      </c>
    </row>
    <row r="149" spans="1:3" x14ac:dyDescent="0.2">
      <c r="A149" s="6">
        <v>46155</v>
      </c>
      <c r="B149" s="7">
        <v>2429</v>
      </c>
      <c r="C149" s="8">
        <f t="shared" si="2"/>
        <v>1.2199899547965847</v>
      </c>
    </row>
    <row r="150" spans="1:3" x14ac:dyDescent="0.2">
      <c r="A150" s="6">
        <v>46156</v>
      </c>
      <c r="B150" s="7">
        <v>2401</v>
      </c>
      <c r="C150" s="8">
        <f t="shared" si="2"/>
        <v>1.2059266700150677</v>
      </c>
    </row>
    <row r="151" spans="1:3" x14ac:dyDescent="0.2">
      <c r="A151" s="6">
        <v>46157</v>
      </c>
      <c r="B151" s="7">
        <v>2375</v>
      </c>
      <c r="C151" s="8">
        <f t="shared" si="2"/>
        <v>1.1928679055750879</v>
      </c>
    </row>
    <row r="152" spans="1:3" x14ac:dyDescent="0.2">
      <c r="A152" s="6">
        <v>46160</v>
      </c>
      <c r="B152" s="7">
        <v>2351</v>
      </c>
      <c r="C152" s="8">
        <f t="shared" si="2"/>
        <v>1.1808136614766449</v>
      </c>
    </row>
    <row r="153" spans="1:3" x14ac:dyDescent="0.2">
      <c r="A153" s="6">
        <v>46161</v>
      </c>
      <c r="B153" s="7">
        <v>2307</v>
      </c>
      <c r="C153" s="8">
        <f t="shared" si="2"/>
        <v>1.1587142139628328</v>
      </c>
    </row>
    <row r="154" spans="1:3" x14ac:dyDescent="0.2">
      <c r="A154" s="6">
        <v>46162</v>
      </c>
      <c r="B154" s="7">
        <v>2249</v>
      </c>
      <c r="C154" s="8">
        <f t="shared" si="2"/>
        <v>1.1295831240582621</v>
      </c>
    </row>
    <row r="155" spans="1:3" x14ac:dyDescent="0.2">
      <c r="A155" s="6">
        <v>46163</v>
      </c>
      <c r="B155" s="7">
        <v>2215</v>
      </c>
      <c r="C155" s="8">
        <f t="shared" si="2"/>
        <v>1.1125062782521347</v>
      </c>
    </row>
    <row r="156" spans="1:3" x14ac:dyDescent="0.2">
      <c r="A156" s="6">
        <v>46164</v>
      </c>
      <c r="B156" s="7">
        <v>2185</v>
      </c>
      <c r="C156" s="8">
        <f t="shared" si="2"/>
        <v>1.0974384731290809</v>
      </c>
    </row>
    <row r="157" spans="1:3" x14ac:dyDescent="0.2">
      <c r="A157" s="6">
        <v>46168</v>
      </c>
      <c r="B157" s="7">
        <v>2157</v>
      </c>
      <c r="C157" s="8">
        <f t="shared" si="2"/>
        <v>1.083375188347564</v>
      </c>
    </row>
    <row r="158" spans="1:3" x14ac:dyDescent="0.2">
      <c r="A158" s="6">
        <v>46169</v>
      </c>
      <c r="B158" s="7">
        <v>2129</v>
      </c>
      <c r="C158" s="8">
        <f t="shared" si="2"/>
        <v>1.0693119035660472</v>
      </c>
    </row>
    <row r="159" spans="1:3" x14ac:dyDescent="0.2">
      <c r="A159" s="6">
        <v>46170</v>
      </c>
      <c r="B159" s="7">
        <v>2088</v>
      </c>
      <c r="C159" s="8">
        <f t="shared" si="2"/>
        <v>1.0487192365645404</v>
      </c>
    </row>
    <row r="160" spans="1:3" x14ac:dyDescent="0.2">
      <c r="A160" s="6">
        <v>46171</v>
      </c>
      <c r="B160" s="7">
        <v>2068</v>
      </c>
      <c r="C160" s="8">
        <f t="shared" si="2"/>
        <v>1.0386740331491713</v>
      </c>
    </row>
    <row r="161" spans="1:3" x14ac:dyDescent="0.2">
      <c r="A161" s="6">
        <v>46174</v>
      </c>
      <c r="B161" s="7">
        <v>2053</v>
      </c>
      <c r="C161" s="8">
        <f t="shared" si="2"/>
        <v>1.0311401305876444</v>
      </c>
    </row>
    <row r="162" spans="1:3" x14ac:dyDescent="0.2">
      <c r="A162" s="6">
        <v>46175</v>
      </c>
      <c r="B162" s="7">
        <v>2078</v>
      </c>
      <c r="C162" s="8">
        <f t="shared" si="2"/>
        <v>1.0436966348568559</v>
      </c>
    </row>
    <row r="163" spans="1:3" x14ac:dyDescent="0.2">
      <c r="A163" s="6">
        <v>46176</v>
      </c>
      <c r="B163" s="7">
        <v>2086</v>
      </c>
      <c r="C163" s="8">
        <f t="shared" si="2"/>
        <v>1.0477147162230036</v>
      </c>
    </row>
    <row r="164" spans="1:3" x14ac:dyDescent="0.2">
      <c r="A164" s="6">
        <v>46177</v>
      </c>
      <c r="B164" s="7">
        <v>2103</v>
      </c>
      <c r="C164" s="8">
        <f t="shared" si="2"/>
        <v>1.0562531391260672</v>
      </c>
    </row>
    <row r="165" spans="1:3" x14ac:dyDescent="0.2">
      <c r="A165" s="6">
        <v>46178</v>
      </c>
      <c r="B165" s="7">
        <v>2110</v>
      </c>
      <c r="C165" s="8">
        <f t="shared" si="2"/>
        <v>1.0597689603214464</v>
      </c>
    </row>
    <row r="166" spans="1:3" x14ac:dyDescent="0.2">
      <c r="A166" s="6">
        <v>46181</v>
      </c>
      <c r="B166" s="7">
        <v>2099</v>
      </c>
      <c r="C166" s="8">
        <f t="shared" si="2"/>
        <v>1.0542440984429935</v>
      </c>
    </row>
    <row r="167" spans="1:3" x14ac:dyDescent="0.2">
      <c r="A167" s="6">
        <v>46182</v>
      </c>
      <c r="B167" s="7">
        <v>2075</v>
      </c>
      <c r="C167" s="8">
        <f t="shared" si="2"/>
        <v>1.0421898543445505</v>
      </c>
    </row>
    <row r="168" spans="1:3" x14ac:dyDescent="0.2">
      <c r="A168" s="6">
        <v>46183</v>
      </c>
      <c r="B168" s="7">
        <v>2041</v>
      </c>
      <c r="C168" s="8">
        <f t="shared" si="2"/>
        <v>1.0251130085384228</v>
      </c>
    </row>
    <row r="169" spans="1:3" x14ac:dyDescent="0.2">
      <c r="A169" s="6">
        <v>46184</v>
      </c>
      <c r="B169" s="7">
        <v>1994</v>
      </c>
      <c r="C169" s="8">
        <f t="shared" si="2"/>
        <v>1.0015067805123055</v>
      </c>
    </row>
    <row r="170" spans="1:3" x14ac:dyDescent="0.2">
      <c r="A170" s="6">
        <v>46185</v>
      </c>
      <c r="B170" s="7">
        <v>1950</v>
      </c>
      <c r="C170" s="8">
        <f t="shared" si="2"/>
        <v>0.97940733299849325</v>
      </c>
    </row>
    <row r="171" spans="1:3" x14ac:dyDescent="0.2">
      <c r="A171" s="6">
        <v>46188</v>
      </c>
      <c r="B171" s="7">
        <v>1939</v>
      </c>
      <c r="C171" s="8">
        <f t="shared" si="2"/>
        <v>0.97388247112004023</v>
      </c>
    </row>
    <row r="172" spans="1:3" x14ac:dyDescent="0.2">
      <c r="A172" s="6">
        <v>46189</v>
      </c>
      <c r="B172" s="7">
        <v>1927</v>
      </c>
      <c r="C172" s="8">
        <f t="shared" si="2"/>
        <v>0.96785534907081872</v>
      </c>
    </row>
    <row r="173" spans="1:3" x14ac:dyDescent="0.2">
      <c r="A173" s="6">
        <v>46190</v>
      </c>
      <c r="B173" s="7">
        <v>1953</v>
      </c>
      <c r="C173" s="8">
        <f t="shared" si="2"/>
        <v>0.9809141135107986</v>
      </c>
    </row>
    <row r="174" spans="1:3" x14ac:dyDescent="0.2">
      <c r="A174" s="6">
        <v>46191</v>
      </c>
      <c r="B174" s="7">
        <v>2023</v>
      </c>
      <c r="C174" s="8">
        <f t="shared" si="2"/>
        <v>1.0160723254645907</v>
      </c>
    </row>
    <row r="175" spans="1:3" x14ac:dyDescent="0.2">
      <c r="A175" s="6">
        <v>46192</v>
      </c>
      <c r="B175" s="7">
        <v>2092</v>
      </c>
      <c r="C175" s="8">
        <f t="shared" si="2"/>
        <v>1.0507282772476143</v>
      </c>
    </row>
    <row r="176" spans="1:3" x14ac:dyDescent="0.2">
      <c r="A176" s="6">
        <v>46195</v>
      </c>
      <c r="B176" s="7">
        <v>2176</v>
      </c>
      <c r="C176" s="8">
        <f t="shared" si="2"/>
        <v>1.0929181315921648</v>
      </c>
    </row>
    <row r="177" spans="1:3" x14ac:dyDescent="0.2">
      <c r="A177" s="6">
        <v>46196</v>
      </c>
      <c r="B177" s="7">
        <v>2227</v>
      </c>
      <c r="C177" s="8">
        <f t="shared" si="2"/>
        <v>1.1185334003013561</v>
      </c>
    </row>
    <row r="178" spans="1:3" x14ac:dyDescent="0.2">
      <c r="A178" s="6">
        <v>46197</v>
      </c>
      <c r="B178" s="7">
        <v>2152</v>
      </c>
      <c r="C178" s="8">
        <f t="shared" si="2"/>
        <v>1.0808638874937218</v>
      </c>
    </row>
    <row r="179" spans="1:3" x14ac:dyDescent="0.2">
      <c r="A179" s="6">
        <v>46198</v>
      </c>
      <c r="B179" s="7">
        <v>2014</v>
      </c>
      <c r="C179" s="8">
        <f t="shared" si="2"/>
        <v>1.0115519839276745</v>
      </c>
    </row>
    <row r="180" spans="1:3" x14ac:dyDescent="0.2">
      <c r="A180" s="6">
        <v>46199</v>
      </c>
      <c r="B180" s="7">
        <v>1914</v>
      </c>
      <c r="C180" s="8">
        <f t="shared" si="2"/>
        <v>0.96132596685082872</v>
      </c>
    </row>
    <row r="181" spans="1:3" x14ac:dyDescent="0.2">
      <c r="A181" s="6">
        <v>46202</v>
      </c>
      <c r="B181" s="7">
        <v>1935</v>
      </c>
      <c r="C181" s="8">
        <f t="shared" si="2"/>
        <v>0.97187343043696639</v>
      </c>
    </row>
    <row r="182" spans="1:3" x14ac:dyDescent="0.2">
      <c r="A182" s="6">
        <v>46203</v>
      </c>
      <c r="B182" s="7">
        <v>1895</v>
      </c>
      <c r="C182" s="8">
        <f t="shared" si="2"/>
        <v>0.95178302360622802</v>
      </c>
    </row>
    <row r="183" spans="1:3" x14ac:dyDescent="0.2">
      <c r="A183" s="6">
        <v>46204</v>
      </c>
      <c r="B183" s="7">
        <v>1864</v>
      </c>
      <c r="C183" s="8">
        <f t="shared" si="2"/>
        <v>0.93621295831240581</v>
      </c>
    </row>
    <row r="184" spans="1:3" x14ac:dyDescent="0.2">
      <c r="A184" s="6">
        <v>46205</v>
      </c>
      <c r="B184" s="7">
        <v>1850</v>
      </c>
      <c r="C184" s="8">
        <f t="shared" si="2"/>
        <v>0.92918131592164743</v>
      </c>
    </row>
    <row r="185" spans="1:3" x14ac:dyDescent="0.2">
      <c r="A185" s="6">
        <v>46206</v>
      </c>
      <c r="B185" s="7">
        <v>1856</v>
      </c>
      <c r="C185" s="8">
        <f t="shared" si="2"/>
        <v>0.93219487694625813</v>
      </c>
    </row>
    <row r="186" spans="1:3" x14ac:dyDescent="0.2">
      <c r="A186" s="6">
        <v>46209</v>
      </c>
      <c r="B186" s="7">
        <v>1866</v>
      </c>
      <c r="C186" s="8">
        <f t="shared" si="2"/>
        <v>0.93721747865394278</v>
      </c>
    </row>
    <row r="187" spans="1:3" x14ac:dyDescent="0.2">
      <c r="A187" s="6">
        <v>46210</v>
      </c>
      <c r="B187" s="7">
        <v>1885</v>
      </c>
      <c r="C187" s="8">
        <f t="shared" si="2"/>
        <v>0.94676042189854348</v>
      </c>
    </row>
    <row r="188" spans="1:3" x14ac:dyDescent="0.2">
      <c r="A188" s="6">
        <v>46211</v>
      </c>
      <c r="B188" s="7">
        <v>1939</v>
      </c>
      <c r="C188" s="8">
        <f t="shared" si="2"/>
        <v>0.97388247112004023</v>
      </c>
    </row>
    <row r="189" spans="1:3" x14ac:dyDescent="0.2">
      <c r="A189" s="6">
        <v>46212</v>
      </c>
      <c r="B189" s="7">
        <v>1988</v>
      </c>
      <c r="C189" s="8">
        <f t="shared" si="2"/>
        <v>0.99849321948769465</v>
      </c>
    </row>
    <row r="190" spans="1:3" x14ac:dyDescent="0.2">
      <c r="A190" s="6">
        <v>46213</v>
      </c>
      <c r="B190" s="7">
        <v>2031</v>
      </c>
      <c r="C190" s="8">
        <f t="shared" si="2"/>
        <v>1.0200904068307384</v>
      </c>
    </row>
    <row r="191" spans="1:3" x14ac:dyDescent="0.2">
      <c r="A191" s="6">
        <v>46216</v>
      </c>
      <c r="B191" s="7">
        <v>2060</v>
      </c>
      <c r="C191" s="8">
        <f t="shared" si="2"/>
        <v>1.0346559517830236</v>
      </c>
    </row>
    <row r="192" spans="1:3" x14ac:dyDescent="0.2">
      <c r="A192" s="6">
        <v>46217</v>
      </c>
      <c r="B192" s="7">
        <v>2145</v>
      </c>
      <c r="C192" s="8">
        <f t="shared" si="2"/>
        <v>1.0773480662983426</v>
      </c>
    </row>
    <row r="193" spans="1:3" x14ac:dyDescent="0.2">
      <c r="A193" s="6">
        <v>46218</v>
      </c>
      <c r="B193" s="7">
        <v>2209</v>
      </c>
      <c r="C193" s="8">
        <f t="shared" si="2"/>
        <v>1.109492717227524</v>
      </c>
    </row>
    <row r="194" spans="1:3" x14ac:dyDescent="0.2">
      <c r="A194" s="6">
        <v>46219</v>
      </c>
      <c r="B194" s="7">
        <v>2268</v>
      </c>
      <c r="C194" s="8">
        <f t="shared" si="2"/>
        <v>1.1391260673028629</v>
      </c>
    </row>
    <row r="195" spans="1:3" x14ac:dyDescent="0.2">
      <c r="A195" s="6">
        <v>46220</v>
      </c>
      <c r="B195" s="7">
        <v>2283</v>
      </c>
      <c r="C195" s="8">
        <f t="shared" si="2"/>
        <v>1.1466599698643898</v>
      </c>
    </row>
    <row r="196" spans="1:3" x14ac:dyDescent="0.2">
      <c r="A196" s="6">
        <v>46223</v>
      </c>
      <c r="B196" s="7">
        <v>2298</v>
      </c>
      <c r="C196" s="8">
        <f t="shared" si="2"/>
        <v>1.1541938724259166</v>
      </c>
    </row>
    <row r="197" spans="1:3" x14ac:dyDescent="0.2">
      <c r="A197" s="6">
        <v>46224</v>
      </c>
      <c r="B197" s="7">
        <v>2356</v>
      </c>
      <c r="C197" s="8">
        <f t="shared" si="2"/>
        <v>1.1833249623304871</v>
      </c>
    </row>
    <row r="198" spans="1:3" x14ac:dyDescent="0.2">
      <c r="A198" s="6">
        <v>46225</v>
      </c>
      <c r="B198" s="7">
        <v>2400</v>
      </c>
      <c r="C198" s="8">
        <f t="shared" ref="C198:C261" si="3">B198/$B$99</f>
        <v>1.2054244098442994</v>
      </c>
    </row>
    <row r="199" spans="1:3" x14ac:dyDescent="0.2">
      <c r="A199" s="6">
        <v>46226</v>
      </c>
      <c r="B199" s="7">
        <v>2502</v>
      </c>
      <c r="C199" s="8">
        <f t="shared" si="3"/>
        <v>1.256654947262682</v>
      </c>
    </row>
    <row r="200" spans="1:3" x14ac:dyDescent="0.2">
      <c r="A200" s="6">
        <v>46227</v>
      </c>
      <c r="B200" s="7">
        <v>2532</v>
      </c>
      <c r="C200" s="8">
        <f t="shared" si="3"/>
        <v>1.2717227523857357</v>
      </c>
    </row>
    <row r="201" spans="1:3" x14ac:dyDescent="0.2">
      <c r="A201" s="6">
        <v>46230</v>
      </c>
      <c r="B201" s="7">
        <v>2582</v>
      </c>
      <c r="C201" s="8">
        <f t="shared" si="3"/>
        <v>1.2968357609241588</v>
      </c>
    </row>
    <row r="202" spans="1:3" x14ac:dyDescent="0.2">
      <c r="A202" s="6">
        <v>46231</v>
      </c>
      <c r="B202" s="7">
        <v>2601</v>
      </c>
      <c r="C202" s="8">
        <f t="shared" si="3"/>
        <v>1.3063787041687593</v>
      </c>
    </row>
    <row r="203" spans="1:3" x14ac:dyDescent="0.2">
      <c r="A203" s="6">
        <v>46232</v>
      </c>
      <c r="B203" s="7">
        <v>2607</v>
      </c>
      <c r="C203" s="8">
        <f t="shared" si="3"/>
        <v>1.3093922651933703</v>
      </c>
    </row>
    <row r="204" spans="1:3" x14ac:dyDescent="0.2">
      <c r="A204" s="6">
        <v>46233</v>
      </c>
      <c r="B204" s="7">
        <v>2590</v>
      </c>
      <c r="C204" s="8">
        <f t="shared" si="3"/>
        <v>1.3008538422903064</v>
      </c>
    </row>
    <row r="205" spans="1:3" x14ac:dyDescent="0.2">
      <c r="A205" s="6">
        <v>46234</v>
      </c>
      <c r="B205" s="7">
        <v>2582</v>
      </c>
      <c r="C205" s="8">
        <f t="shared" si="3"/>
        <v>1.2968357609241588</v>
      </c>
    </row>
    <row r="206" spans="1:3" x14ac:dyDescent="0.2">
      <c r="A206" s="6">
        <v>46237</v>
      </c>
      <c r="B206" s="7">
        <v>2554</v>
      </c>
      <c r="C206" s="8">
        <f t="shared" si="3"/>
        <v>1.2827724761426418</v>
      </c>
    </row>
    <row r="207" spans="1:3" x14ac:dyDescent="0.2">
      <c r="A207" s="6">
        <v>46238</v>
      </c>
      <c r="B207" s="7">
        <v>2534</v>
      </c>
      <c r="C207" s="8">
        <f t="shared" si="3"/>
        <v>1.2727272727272727</v>
      </c>
    </row>
    <row r="208" spans="1:3" x14ac:dyDescent="0.2">
      <c r="A208" s="6">
        <v>46239</v>
      </c>
      <c r="B208" s="7">
        <v>2521</v>
      </c>
      <c r="C208" s="8">
        <f t="shared" si="3"/>
        <v>1.2661978905072828</v>
      </c>
    </row>
    <row r="209" spans="1:3" x14ac:dyDescent="0.2">
      <c r="A209" s="6">
        <v>46240</v>
      </c>
      <c r="B209" s="7">
        <v>2575</v>
      </c>
      <c r="C209" s="8">
        <f t="shared" si="3"/>
        <v>1.2933199397287796</v>
      </c>
    </row>
    <row r="210" spans="1:3" x14ac:dyDescent="0.2">
      <c r="A210" s="6">
        <v>46241</v>
      </c>
      <c r="B210" s="7">
        <v>2631</v>
      </c>
      <c r="C210" s="8">
        <f t="shared" si="3"/>
        <v>1.3214465092918131</v>
      </c>
    </row>
    <row r="211" spans="1:3" x14ac:dyDescent="0.2">
      <c r="A211" s="6">
        <v>46244</v>
      </c>
      <c r="B211" s="7">
        <v>2644</v>
      </c>
      <c r="C211" s="8">
        <f t="shared" si="3"/>
        <v>1.3279758915118032</v>
      </c>
    </row>
    <row r="212" spans="1:3" x14ac:dyDescent="0.2">
      <c r="A212" s="6">
        <v>46245</v>
      </c>
      <c r="B212" s="7">
        <v>2663</v>
      </c>
      <c r="C212" s="8">
        <f t="shared" si="3"/>
        <v>1.3375188347564038</v>
      </c>
    </row>
    <row r="213" spans="1:3" x14ac:dyDescent="0.2">
      <c r="A213" s="6">
        <v>46246</v>
      </c>
      <c r="B213" s="7">
        <v>2671</v>
      </c>
      <c r="C213" s="8">
        <f t="shared" si="3"/>
        <v>1.3415369161225514</v>
      </c>
    </row>
    <row r="214" spans="1:3" x14ac:dyDescent="0.2">
      <c r="A214" s="6">
        <v>46247</v>
      </c>
      <c r="B214" s="7">
        <v>2693</v>
      </c>
      <c r="C214" s="8">
        <f t="shared" si="3"/>
        <v>1.3525866398794575</v>
      </c>
    </row>
    <row r="215" spans="1:3" x14ac:dyDescent="0.2">
      <c r="A215" s="6">
        <v>46248</v>
      </c>
      <c r="B215" s="7">
        <v>2742</v>
      </c>
      <c r="C215" s="8">
        <f t="shared" si="3"/>
        <v>1.377197388247112</v>
      </c>
    </row>
    <row r="216" spans="1:3" x14ac:dyDescent="0.2">
      <c r="A216" s="6">
        <v>46251</v>
      </c>
      <c r="B216" s="7">
        <v>2824</v>
      </c>
      <c r="C216" s="8">
        <f t="shared" si="3"/>
        <v>1.4183827222501255</v>
      </c>
    </row>
    <row r="217" spans="1:3" x14ac:dyDescent="0.2">
      <c r="A217" s="6">
        <v>46252</v>
      </c>
      <c r="B217" s="7">
        <v>2894</v>
      </c>
      <c r="C217" s="8">
        <f t="shared" si="3"/>
        <v>1.4535409342039176</v>
      </c>
    </row>
    <row r="218" spans="1:3" x14ac:dyDescent="0.2">
      <c r="A218" s="6">
        <v>46253</v>
      </c>
      <c r="B218" s="7">
        <v>2957</v>
      </c>
      <c r="C218" s="8">
        <f t="shared" si="3"/>
        <v>1.4851833249623305</v>
      </c>
    </row>
    <row r="219" spans="1:3" x14ac:dyDescent="0.2">
      <c r="A219" s="6">
        <v>46254</v>
      </c>
      <c r="B219" s="7">
        <v>2966</v>
      </c>
      <c r="C219" s="8">
        <f t="shared" si="3"/>
        <v>1.4897036664992467</v>
      </c>
    </row>
    <row r="220" spans="1:3" x14ac:dyDescent="0.2">
      <c r="A220" s="6">
        <v>46255</v>
      </c>
      <c r="B220" s="7">
        <v>3004</v>
      </c>
      <c r="C220" s="8">
        <f t="shared" si="3"/>
        <v>1.5087895529884481</v>
      </c>
    </row>
    <row r="221" spans="1:3" x14ac:dyDescent="0.2">
      <c r="A221" s="6">
        <v>46258</v>
      </c>
      <c r="B221" s="7">
        <v>2961</v>
      </c>
      <c r="C221" s="8">
        <f t="shared" si="3"/>
        <v>1.4871923656454042</v>
      </c>
    </row>
    <row r="222" spans="1:3" x14ac:dyDescent="0.2">
      <c r="A222" s="6">
        <v>46259</v>
      </c>
      <c r="B222" s="7">
        <v>2886</v>
      </c>
      <c r="C222" s="8">
        <f t="shared" si="3"/>
        <v>1.4495228528377699</v>
      </c>
    </row>
    <row r="223" spans="1:3" x14ac:dyDescent="0.2">
      <c r="A223" s="6">
        <v>46260</v>
      </c>
      <c r="B223" s="7">
        <v>2851</v>
      </c>
      <c r="C223" s="8">
        <f t="shared" si="3"/>
        <v>1.431943746860874</v>
      </c>
    </row>
    <row r="224" spans="1:3" x14ac:dyDescent="0.2">
      <c r="A224" s="6">
        <v>46261</v>
      </c>
      <c r="B224" s="7">
        <v>2801</v>
      </c>
      <c r="C224" s="8">
        <f t="shared" si="3"/>
        <v>1.406830738322451</v>
      </c>
    </row>
    <row r="225" spans="1:3" x14ac:dyDescent="0.2">
      <c r="A225" s="6">
        <v>46262</v>
      </c>
      <c r="B225" s="7">
        <v>2777</v>
      </c>
      <c r="C225" s="8">
        <f t="shared" si="3"/>
        <v>1.394776494224008</v>
      </c>
    </row>
    <row r="226" spans="1:3" x14ac:dyDescent="0.2">
      <c r="A226" s="6">
        <v>46266</v>
      </c>
      <c r="B226" s="7">
        <v>2676</v>
      </c>
      <c r="C226" s="8">
        <f t="shared" si="3"/>
        <v>1.3440482169763939</v>
      </c>
    </row>
    <row r="227" spans="1:3" x14ac:dyDescent="0.2">
      <c r="A227" s="6">
        <v>46267</v>
      </c>
      <c r="B227" s="7">
        <v>2699</v>
      </c>
      <c r="C227" s="8">
        <f t="shared" si="3"/>
        <v>1.3556002009040684</v>
      </c>
    </row>
    <row r="228" spans="1:3" x14ac:dyDescent="0.2">
      <c r="A228" s="6">
        <v>46268</v>
      </c>
      <c r="B228" s="7">
        <v>2754</v>
      </c>
      <c r="C228" s="8">
        <f t="shared" si="3"/>
        <v>1.3832245102963334</v>
      </c>
    </row>
    <row r="229" spans="1:3" x14ac:dyDescent="0.2">
      <c r="A229" s="6">
        <v>46269</v>
      </c>
      <c r="B229" s="7">
        <v>2805</v>
      </c>
      <c r="C229" s="8">
        <f t="shared" si="3"/>
        <v>1.4088397790055249</v>
      </c>
    </row>
    <row r="230" spans="1:3" x14ac:dyDescent="0.2">
      <c r="A230" s="6">
        <v>46272</v>
      </c>
      <c r="B230" s="7">
        <v>2868</v>
      </c>
      <c r="C230" s="8">
        <f t="shared" si="3"/>
        <v>1.4404821697639376</v>
      </c>
    </row>
    <row r="231" spans="1:3" x14ac:dyDescent="0.2">
      <c r="A231" s="6">
        <v>46273</v>
      </c>
      <c r="B231" s="7">
        <v>2938</v>
      </c>
      <c r="C231" s="8">
        <f t="shared" si="3"/>
        <v>1.4756403817177297</v>
      </c>
    </row>
    <row r="232" spans="1:3" x14ac:dyDescent="0.2">
      <c r="A232" s="6">
        <v>46274</v>
      </c>
      <c r="B232" s="7">
        <v>3026</v>
      </c>
      <c r="C232" s="8">
        <f t="shared" si="3"/>
        <v>1.5198392767453541</v>
      </c>
    </row>
    <row r="233" spans="1:3" x14ac:dyDescent="0.2">
      <c r="A233" s="6">
        <v>46275</v>
      </c>
      <c r="B233" s="7">
        <v>3385</v>
      </c>
      <c r="C233" s="8">
        <f t="shared" si="3"/>
        <v>1.7001506780512305</v>
      </c>
    </row>
    <row r="234" spans="1:3" x14ac:dyDescent="0.2">
      <c r="A234" s="6">
        <v>46276</v>
      </c>
      <c r="B234" s="7">
        <v>4015</v>
      </c>
      <c r="C234" s="8">
        <f t="shared" si="3"/>
        <v>2.0165745856353592</v>
      </c>
    </row>
    <row r="235" spans="1:3" x14ac:dyDescent="0.2">
      <c r="A235" s="6">
        <v>46279</v>
      </c>
      <c r="B235" s="7">
        <v>4325</v>
      </c>
      <c r="C235" s="8">
        <f t="shared" si="3"/>
        <v>2.1722752385735813</v>
      </c>
    </row>
    <row r="236" spans="1:3" x14ac:dyDescent="0.2">
      <c r="A236" s="6">
        <v>46280</v>
      </c>
      <c r="B236" s="7">
        <v>4499</v>
      </c>
      <c r="C236" s="8">
        <f t="shared" si="3"/>
        <v>2.2596685082872927</v>
      </c>
    </row>
    <row r="237" spans="1:3" x14ac:dyDescent="0.2">
      <c r="A237" s="6">
        <v>46281</v>
      </c>
      <c r="B237" s="7">
        <v>4614</v>
      </c>
      <c r="C237" s="8">
        <f t="shared" si="3"/>
        <v>2.3174284279256656</v>
      </c>
    </row>
    <row r="238" spans="1:3" x14ac:dyDescent="0.2">
      <c r="A238" s="6">
        <v>46282</v>
      </c>
      <c r="B238" s="7">
        <v>4765</v>
      </c>
      <c r="C238" s="8">
        <f t="shared" si="3"/>
        <v>2.3932697137117027</v>
      </c>
    </row>
    <row r="239" spans="1:3" x14ac:dyDescent="0.2">
      <c r="A239" s="6">
        <v>46283</v>
      </c>
      <c r="B239" s="7">
        <v>4899</v>
      </c>
      <c r="C239" s="8">
        <f t="shared" si="3"/>
        <v>2.460572576594676</v>
      </c>
    </row>
    <row r="240" spans="1:3" x14ac:dyDescent="0.2">
      <c r="A240" s="6">
        <v>46286</v>
      </c>
      <c r="B240" s="7">
        <v>5092</v>
      </c>
      <c r="C240" s="8">
        <f t="shared" si="3"/>
        <v>2.5575087895529887</v>
      </c>
    </row>
    <row r="241" spans="1:3" x14ac:dyDescent="0.2">
      <c r="A241" s="6">
        <v>46287</v>
      </c>
      <c r="B241" s="7">
        <v>5157</v>
      </c>
      <c r="C241" s="8">
        <f t="shared" si="3"/>
        <v>2.5901557006529381</v>
      </c>
    </row>
    <row r="242" spans="1:3" x14ac:dyDescent="0.2">
      <c r="A242" s="6">
        <v>46288</v>
      </c>
      <c r="B242" s="7">
        <v>5207</v>
      </c>
      <c r="C242" s="8">
        <f t="shared" si="3"/>
        <v>2.6152687091913611</v>
      </c>
    </row>
    <row r="243" spans="1:3" x14ac:dyDescent="0.2">
      <c r="A243" s="6">
        <v>46289</v>
      </c>
      <c r="B243" s="7">
        <v>5250</v>
      </c>
      <c r="C243" s="8">
        <f t="shared" si="3"/>
        <v>2.6368658965344047</v>
      </c>
    </row>
    <row r="244" spans="1:3" x14ac:dyDescent="0.2">
      <c r="A244" s="6">
        <v>46290</v>
      </c>
      <c r="B244" s="7">
        <v>5366</v>
      </c>
      <c r="C244" s="8">
        <f t="shared" si="3"/>
        <v>2.6951280763435461</v>
      </c>
    </row>
    <row r="245" spans="1:3" x14ac:dyDescent="0.2">
      <c r="A245" s="6">
        <v>46293</v>
      </c>
      <c r="B245" s="7">
        <v>5432</v>
      </c>
      <c r="C245" s="8">
        <f t="shared" si="3"/>
        <v>2.728277247614264</v>
      </c>
    </row>
    <row r="246" spans="1:3" x14ac:dyDescent="0.2">
      <c r="A246" s="6">
        <v>46294</v>
      </c>
      <c r="B246" s="7">
        <v>5444</v>
      </c>
      <c r="C246" s="8">
        <f t="shared" si="3"/>
        <v>2.7343043696634859</v>
      </c>
    </row>
    <row r="247" spans="1:3" x14ac:dyDescent="0.2">
      <c r="A247" s="6">
        <v>46295</v>
      </c>
      <c r="B247" s="7">
        <v>5499</v>
      </c>
      <c r="C247" s="8">
        <f t="shared" si="3"/>
        <v>2.7619286790557509</v>
      </c>
    </row>
    <row r="248" spans="1:3" x14ac:dyDescent="0.2">
      <c r="A248" s="6">
        <v>46296</v>
      </c>
      <c r="B248" s="7">
        <v>5897</v>
      </c>
      <c r="C248" s="8">
        <f t="shared" si="3"/>
        <v>2.9618282270215972</v>
      </c>
    </row>
    <row r="249" spans="1:3" x14ac:dyDescent="0.2">
      <c r="A249" s="6">
        <v>46297</v>
      </c>
      <c r="B249" s="7">
        <v>6586</v>
      </c>
      <c r="C249" s="8">
        <f t="shared" si="3"/>
        <v>3.3078854846810648</v>
      </c>
    </row>
    <row r="250" spans="1:3" x14ac:dyDescent="0.2">
      <c r="A250" s="6">
        <v>46300</v>
      </c>
      <c r="B250" s="7">
        <v>7185</v>
      </c>
      <c r="C250" s="8">
        <f t="shared" si="3"/>
        <v>3.6087393269713712</v>
      </c>
    </row>
    <row r="251" spans="1:3" x14ac:dyDescent="0.2">
      <c r="A251" s="6">
        <v>46301</v>
      </c>
      <c r="B251" s="7">
        <v>7444</v>
      </c>
      <c r="C251" s="8">
        <f t="shared" si="3"/>
        <v>3.7388247112004018</v>
      </c>
    </row>
    <row r="252" spans="1:3" x14ac:dyDescent="0.2">
      <c r="A252" s="6">
        <v>46302</v>
      </c>
      <c r="B252" s="7">
        <v>7678</v>
      </c>
      <c r="C252" s="8">
        <f t="shared" si="3"/>
        <v>3.8563535911602211</v>
      </c>
    </row>
    <row r="253" spans="1:3" x14ac:dyDescent="0.2">
      <c r="A253" s="6">
        <v>46303</v>
      </c>
      <c r="B253" s="7">
        <v>7852</v>
      </c>
      <c r="C253" s="8">
        <f t="shared" si="3"/>
        <v>3.9437468608739326</v>
      </c>
    </row>
    <row r="254" spans="1:3" x14ac:dyDescent="0.2">
      <c r="A254" s="6">
        <v>46304</v>
      </c>
      <c r="B254" s="7">
        <v>7964</v>
      </c>
      <c r="C254" s="8">
        <f t="shared" si="3"/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7"/>
  <sheetViews>
    <sheetView workbookViewId="0"/>
  </sheetViews>
  <sheetFormatPr baseColWidth="10" defaultColWidth="8.83203125" defaultRowHeight="15" x14ac:dyDescent="0.2"/>
  <cols>
    <col min="1" max="1" width="11" customWidth="1"/>
    <col min="2" max="2" width="13" customWidth="1"/>
    <col min="3" max="3" width="11" customWidth="1"/>
    <col min="4" max="4" width="13" customWidth="1"/>
    <col min="5" max="5" width="14" customWidth="1"/>
    <col min="6" max="6" width="3" customWidth="1"/>
    <col min="7" max="7" width="30" customWidth="1"/>
    <col min="8" max="8" width="12" customWidth="1"/>
  </cols>
  <sheetData>
    <row r="1" spans="1:8" ht="16" x14ac:dyDescent="0.2">
      <c r="A1" s="1" t="s">
        <v>58</v>
      </c>
    </row>
    <row r="2" spans="1:8" x14ac:dyDescent="0.2">
      <c r="A2" s="4" t="s">
        <v>59</v>
      </c>
    </row>
    <row r="3" spans="1:8" x14ac:dyDescent="0.2">
      <c r="A3" s="4" t="s">
        <v>60</v>
      </c>
    </row>
    <row r="5" spans="1:8" ht="28" x14ac:dyDescent="0.2">
      <c r="A5" s="5" t="s">
        <v>22</v>
      </c>
      <c r="B5" s="5" t="s">
        <v>61</v>
      </c>
      <c r="C5" s="5" t="s">
        <v>62</v>
      </c>
      <c r="D5" s="5" t="s">
        <v>63</v>
      </c>
      <c r="E5" s="5" t="s">
        <v>64</v>
      </c>
      <c r="G5" s="3" t="s">
        <v>65</v>
      </c>
    </row>
    <row r="6" spans="1:8" x14ac:dyDescent="0.2">
      <c r="A6" s="6">
        <v>46022</v>
      </c>
      <c r="B6" s="9">
        <v>4319.37</v>
      </c>
      <c r="C6" s="16">
        <v>1.93</v>
      </c>
      <c r="D6" s="16">
        <v>4.18</v>
      </c>
      <c r="E6" s="17">
        <f t="shared" ref="E6:E69" si="0">IF(AND(ISNUMBER(C6),ISNUMBER(D6)),D6-C6,"")</f>
        <v>2.25</v>
      </c>
      <c r="G6" s="2" t="s">
        <v>66</v>
      </c>
      <c r="H6" s="18">
        <f>B203</f>
        <v>4139.5</v>
      </c>
    </row>
    <row r="7" spans="1:8" x14ac:dyDescent="0.2">
      <c r="A7" s="6">
        <v>46024</v>
      </c>
      <c r="B7" s="9">
        <v>4332.29</v>
      </c>
      <c r="C7" s="16">
        <v>1.94</v>
      </c>
      <c r="D7" s="16">
        <v>4.1900000000000004</v>
      </c>
      <c r="E7" s="17">
        <f t="shared" si="0"/>
        <v>2.2500000000000004</v>
      </c>
      <c r="G7" s="2" t="s">
        <v>67</v>
      </c>
      <c r="H7" s="18">
        <f>B207</f>
        <v>4194.24</v>
      </c>
    </row>
    <row r="8" spans="1:8" x14ac:dyDescent="0.2">
      <c r="A8" s="6">
        <v>46027</v>
      </c>
      <c r="B8" s="9">
        <v>4449.1499999999996</v>
      </c>
      <c r="C8" s="16">
        <v>1.91</v>
      </c>
      <c r="D8" s="16">
        <v>4.17</v>
      </c>
      <c r="E8" s="17">
        <f t="shared" si="0"/>
        <v>2.2599999999999998</v>
      </c>
      <c r="G8" s="2" t="s">
        <v>53</v>
      </c>
      <c r="H8" s="13">
        <f>H7/H6-1</f>
        <v>1.3223819301847906E-2</v>
      </c>
    </row>
    <row r="9" spans="1:8" x14ac:dyDescent="0.2">
      <c r="A9" s="6">
        <v>46028</v>
      </c>
      <c r="B9" s="9">
        <v>4494.83</v>
      </c>
      <c r="C9" s="16">
        <v>1.91</v>
      </c>
      <c r="D9" s="16">
        <v>4.18</v>
      </c>
      <c r="E9" s="17">
        <f t="shared" si="0"/>
        <v>2.2699999999999996</v>
      </c>
      <c r="G9" s="2" t="s">
        <v>68</v>
      </c>
      <c r="H9" s="18">
        <f>B174</f>
        <v>4657.17</v>
      </c>
    </row>
    <row r="10" spans="1:8" x14ac:dyDescent="0.2">
      <c r="A10" s="6">
        <v>46029</v>
      </c>
      <c r="B10" s="9">
        <v>4456.47</v>
      </c>
      <c r="C10" s="16">
        <v>1.88</v>
      </c>
      <c r="D10" s="16">
        <v>4.1500000000000004</v>
      </c>
      <c r="E10" s="17">
        <f t="shared" si="0"/>
        <v>2.2700000000000005</v>
      </c>
      <c r="G10" s="2" t="s">
        <v>69</v>
      </c>
      <c r="H10" s="18">
        <f>B205</f>
        <v>4111.2299999999996</v>
      </c>
    </row>
    <row r="11" spans="1:8" x14ac:dyDescent="0.2">
      <c r="A11" s="6">
        <v>46030</v>
      </c>
      <c r="B11" s="9">
        <v>4477.6499999999996</v>
      </c>
      <c r="C11" s="16">
        <v>1.92</v>
      </c>
      <c r="D11" s="16">
        <v>4.1900000000000004</v>
      </c>
      <c r="E11" s="17">
        <f t="shared" si="0"/>
        <v>2.2700000000000005</v>
      </c>
      <c r="G11" s="2" t="s">
        <v>70</v>
      </c>
      <c r="H11" s="13">
        <f>H10/H9-1</f>
        <v>-0.11722569715084497</v>
      </c>
    </row>
    <row r="12" spans="1:8" x14ac:dyDescent="0.2">
      <c r="A12" s="6">
        <v>46031</v>
      </c>
      <c r="B12" s="9">
        <v>4509.5</v>
      </c>
      <c r="C12" s="16">
        <v>1.9</v>
      </c>
      <c r="D12" s="16">
        <v>4.18</v>
      </c>
      <c r="E12" s="17">
        <f t="shared" si="0"/>
        <v>2.2799999999999998</v>
      </c>
      <c r="G12" s="2" t="s">
        <v>71</v>
      </c>
      <c r="H12" s="18">
        <f>B25</f>
        <v>5417.21</v>
      </c>
    </row>
    <row r="13" spans="1:8" x14ac:dyDescent="0.2">
      <c r="A13" s="6">
        <v>46034</v>
      </c>
      <c r="B13" s="9">
        <v>4597.51</v>
      </c>
      <c r="C13" s="16">
        <v>1.9</v>
      </c>
      <c r="D13" s="16">
        <v>4.1900000000000004</v>
      </c>
      <c r="E13" s="17">
        <f t="shared" si="0"/>
        <v>2.2900000000000005</v>
      </c>
      <c r="G13" s="2" t="s">
        <v>72</v>
      </c>
      <c r="H13" s="13">
        <f>H7/H12-1</f>
        <v>-0.22575643181637783</v>
      </c>
    </row>
    <row r="14" spans="1:8" x14ac:dyDescent="0.2">
      <c r="A14" s="6">
        <v>46035</v>
      </c>
      <c r="B14" s="9">
        <v>4586.5200000000004</v>
      </c>
      <c r="C14" s="16">
        <v>1.88</v>
      </c>
      <c r="D14" s="16">
        <v>4.18</v>
      </c>
      <c r="E14" s="17">
        <f t="shared" si="0"/>
        <v>2.2999999999999998</v>
      </c>
      <c r="G14" s="2" t="s">
        <v>73</v>
      </c>
      <c r="H14" s="19">
        <f>C25</f>
        <v>1.9</v>
      </c>
    </row>
    <row r="15" spans="1:8" x14ac:dyDescent="0.2">
      <c r="A15" s="6">
        <v>46036</v>
      </c>
      <c r="B15" s="9">
        <v>4626.58</v>
      </c>
      <c r="C15" s="16">
        <v>1.86</v>
      </c>
      <c r="D15" s="16">
        <v>4.1500000000000004</v>
      </c>
      <c r="E15" s="17">
        <f t="shared" si="0"/>
        <v>2.29</v>
      </c>
      <c r="G15" s="2" t="s">
        <v>74</v>
      </c>
      <c r="H15" s="19">
        <f>C207</f>
        <v>2.91</v>
      </c>
    </row>
    <row r="16" spans="1:8" x14ac:dyDescent="0.2">
      <c r="A16" s="6">
        <v>46037</v>
      </c>
      <c r="B16" s="9">
        <v>4616.1499999999996</v>
      </c>
      <c r="C16" s="16">
        <v>1.88</v>
      </c>
      <c r="D16" s="16">
        <v>4.17</v>
      </c>
      <c r="E16" s="17">
        <f t="shared" si="0"/>
        <v>2.29</v>
      </c>
      <c r="G16" s="2" t="s">
        <v>75</v>
      </c>
      <c r="H16" s="20">
        <f>(H15-H14)*100</f>
        <v>101.00000000000003</v>
      </c>
    </row>
    <row r="17" spans="1:8" x14ac:dyDescent="0.2">
      <c r="A17" s="6">
        <v>46038</v>
      </c>
      <c r="B17" s="9">
        <v>4596.09</v>
      </c>
      <c r="C17" s="16">
        <v>1.91</v>
      </c>
      <c r="D17" s="16">
        <v>4.24</v>
      </c>
      <c r="E17" s="17">
        <f t="shared" si="0"/>
        <v>2.33</v>
      </c>
      <c r="G17" s="2" t="s">
        <v>76</v>
      </c>
      <c r="H17" s="19">
        <f>C178</f>
        <v>2.44</v>
      </c>
    </row>
    <row r="18" spans="1:8" x14ac:dyDescent="0.2">
      <c r="A18" s="6">
        <v>46041</v>
      </c>
      <c r="B18" s="9">
        <v>4670.8900000000003</v>
      </c>
      <c r="E18" s="17" t="str">
        <f t="shared" si="0"/>
        <v/>
      </c>
      <c r="G18" s="2" t="s">
        <v>77</v>
      </c>
      <c r="H18" s="19">
        <f>C200</f>
        <v>2.93</v>
      </c>
    </row>
    <row r="19" spans="1:8" x14ac:dyDescent="0.2">
      <c r="A19" s="6">
        <v>46042</v>
      </c>
      <c r="B19" s="9">
        <v>4763.43</v>
      </c>
      <c r="C19" s="16">
        <v>1.97</v>
      </c>
      <c r="D19" s="16">
        <v>4.3</v>
      </c>
      <c r="E19" s="17">
        <f t="shared" si="0"/>
        <v>2.33</v>
      </c>
      <c r="G19" s="2" t="s">
        <v>78</v>
      </c>
      <c r="H19" s="20">
        <f>(H18-H17)*100</f>
        <v>49.000000000000021</v>
      </c>
    </row>
    <row r="20" spans="1:8" x14ac:dyDescent="0.2">
      <c r="A20" s="6">
        <v>46043</v>
      </c>
      <c r="B20" s="9">
        <v>4831.7299999999996</v>
      </c>
      <c r="C20" s="16">
        <v>1.92</v>
      </c>
      <c r="D20" s="16">
        <v>4.26</v>
      </c>
      <c r="E20" s="17">
        <f t="shared" si="0"/>
        <v>2.34</v>
      </c>
      <c r="G20" s="2" t="s">
        <v>79</v>
      </c>
      <c r="H20" s="19">
        <f>E207</f>
        <v>2.33</v>
      </c>
    </row>
    <row r="21" spans="1:8" x14ac:dyDescent="0.2">
      <c r="A21" s="6">
        <v>46044</v>
      </c>
      <c r="B21" s="9">
        <v>4936.0200000000004</v>
      </c>
      <c r="C21" s="16">
        <v>1.95</v>
      </c>
      <c r="D21" s="16">
        <v>4.26</v>
      </c>
      <c r="E21" s="17">
        <f t="shared" si="0"/>
        <v>2.3099999999999996</v>
      </c>
    </row>
    <row r="22" spans="1:8" x14ac:dyDescent="0.2">
      <c r="A22" s="6">
        <v>46045</v>
      </c>
      <c r="B22" s="9">
        <v>4987.49</v>
      </c>
      <c r="C22" s="16">
        <v>1.92</v>
      </c>
      <c r="D22" s="16">
        <v>4.24</v>
      </c>
      <c r="E22" s="17">
        <f t="shared" si="0"/>
        <v>2.3200000000000003</v>
      </c>
    </row>
    <row r="23" spans="1:8" x14ac:dyDescent="0.2">
      <c r="A23" s="6">
        <v>46048</v>
      </c>
      <c r="B23" s="9">
        <v>5008.7</v>
      </c>
      <c r="C23" s="16">
        <v>1.9</v>
      </c>
      <c r="D23" s="16">
        <v>4.22</v>
      </c>
      <c r="E23" s="17">
        <f t="shared" si="0"/>
        <v>2.3199999999999998</v>
      </c>
    </row>
    <row r="24" spans="1:8" x14ac:dyDescent="0.2">
      <c r="A24" s="6">
        <v>46049</v>
      </c>
      <c r="B24" s="9">
        <v>5180.16</v>
      </c>
      <c r="C24" s="16">
        <v>1.9</v>
      </c>
      <c r="D24" s="16">
        <v>4.24</v>
      </c>
      <c r="E24" s="17">
        <f t="shared" si="0"/>
        <v>2.3400000000000003</v>
      </c>
    </row>
    <row r="25" spans="1:8" x14ac:dyDescent="0.2">
      <c r="A25" s="6">
        <v>46050</v>
      </c>
      <c r="B25" s="9">
        <v>5417.21</v>
      </c>
      <c r="C25" s="16">
        <v>1.9</v>
      </c>
      <c r="D25" s="16">
        <v>4.26</v>
      </c>
      <c r="E25" s="17">
        <f t="shared" si="0"/>
        <v>2.36</v>
      </c>
    </row>
    <row r="26" spans="1:8" x14ac:dyDescent="0.2">
      <c r="A26" s="6">
        <v>46051</v>
      </c>
      <c r="B26" s="9">
        <v>5375.24</v>
      </c>
      <c r="C26" s="16">
        <v>1.89</v>
      </c>
      <c r="D26" s="16">
        <v>4.24</v>
      </c>
      <c r="E26" s="17">
        <f t="shared" si="0"/>
        <v>2.3500000000000005</v>
      </c>
    </row>
    <row r="27" spans="1:8" x14ac:dyDescent="0.2">
      <c r="A27" s="6">
        <v>46052</v>
      </c>
      <c r="B27" s="9">
        <v>4894.2299999999996</v>
      </c>
      <c r="C27" s="16">
        <v>1.9</v>
      </c>
      <c r="D27" s="16">
        <v>4.26</v>
      </c>
      <c r="E27" s="17">
        <f t="shared" si="0"/>
        <v>2.36</v>
      </c>
    </row>
    <row r="28" spans="1:8" x14ac:dyDescent="0.2">
      <c r="A28" s="6">
        <v>46055</v>
      </c>
      <c r="B28" s="9">
        <v>4661.38</v>
      </c>
      <c r="C28" s="16">
        <v>1.94</v>
      </c>
      <c r="D28" s="16">
        <v>4.29</v>
      </c>
      <c r="E28" s="17">
        <f t="shared" si="0"/>
        <v>2.35</v>
      </c>
    </row>
    <row r="29" spans="1:8" x14ac:dyDescent="0.2">
      <c r="A29" s="6">
        <v>46056</v>
      </c>
      <c r="B29" s="9">
        <v>4946.76</v>
      </c>
      <c r="C29" s="16">
        <v>1.92</v>
      </c>
      <c r="D29" s="16">
        <v>4.28</v>
      </c>
      <c r="E29" s="17">
        <f t="shared" si="0"/>
        <v>2.3600000000000003</v>
      </c>
    </row>
    <row r="30" spans="1:8" x14ac:dyDescent="0.2">
      <c r="A30" s="6">
        <v>46057</v>
      </c>
      <c r="B30" s="9">
        <v>4964.93</v>
      </c>
      <c r="C30" s="16">
        <v>1.94</v>
      </c>
      <c r="D30" s="16">
        <v>4.29</v>
      </c>
      <c r="E30" s="17">
        <f t="shared" si="0"/>
        <v>2.35</v>
      </c>
    </row>
    <row r="31" spans="1:8" x14ac:dyDescent="0.2">
      <c r="A31" s="6">
        <v>46058</v>
      </c>
      <c r="B31" s="9">
        <v>4779.05</v>
      </c>
      <c r="C31" s="16">
        <v>1.89</v>
      </c>
      <c r="D31" s="16">
        <v>4.21</v>
      </c>
      <c r="E31" s="17">
        <f t="shared" si="0"/>
        <v>2.3200000000000003</v>
      </c>
    </row>
    <row r="32" spans="1:8" x14ac:dyDescent="0.2">
      <c r="A32" s="6">
        <v>46059</v>
      </c>
      <c r="B32" s="9">
        <v>4964.3599999999997</v>
      </c>
      <c r="C32" s="16">
        <v>1.88</v>
      </c>
      <c r="D32" s="16">
        <v>4.22</v>
      </c>
      <c r="E32" s="17">
        <f t="shared" si="0"/>
        <v>2.34</v>
      </c>
    </row>
    <row r="33" spans="1:5" x14ac:dyDescent="0.2">
      <c r="A33" s="6">
        <v>46062</v>
      </c>
      <c r="B33" s="9">
        <v>5057.8</v>
      </c>
      <c r="C33" s="16">
        <v>1.87</v>
      </c>
      <c r="D33" s="16">
        <v>4.22</v>
      </c>
      <c r="E33" s="17">
        <f t="shared" si="0"/>
        <v>2.3499999999999996</v>
      </c>
    </row>
    <row r="34" spans="1:5" x14ac:dyDescent="0.2">
      <c r="A34" s="6">
        <v>46063</v>
      </c>
      <c r="B34" s="9">
        <v>5025.45</v>
      </c>
      <c r="C34" s="16">
        <v>1.84</v>
      </c>
      <c r="D34" s="16">
        <v>4.16</v>
      </c>
      <c r="E34" s="17">
        <f t="shared" si="0"/>
        <v>2.3200000000000003</v>
      </c>
    </row>
    <row r="35" spans="1:5" x14ac:dyDescent="0.2">
      <c r="A35" s="6">
        <v>46064</v>
      </c>
      <c r="B35" s="9">
        <v>5084.3900000000003</v>
      </c>
      <c r="C35" s="16">
        <v>1.86</v>
      </c>
      <c r="D35" s="16">
        <v>4.18</v>
      </c>
      <c r="E35" s="17">
        <f t="shared" si="0"/>
        <v>2.3199999999999994</v>
      </c>
    </row>
    <row r="36" spans="1:5" x14ac:dyDescent="0.2">
      <c r="A36" s="6">
        <v>46065</v>
      </c>
      <c r="B36" s="9">
        <v>4922.1899999999996</v>
      </c>
      <c r="C36" s="16">
        <v>1.8</v>
      </c>
      <c r="D36" s="16">
        <v>4.09</v>
      </c>
      <c r="E36" s="17">
        <f t="shared" si="0"/>
        <v>2.29</v>
      </c>
    </row>
    <row r="37" spans="1:5" x14ac:dyDescent="0.2">
      <c r="A37" s="6">
        <v>46066</v>
      </c>
      <c r="B37" s="9">
        <v>5042.04</v>
      </c>
      <c r="C37" s="16">
        <v>1.77</v>
      </c>
      <c r="D37" s="16">
        <v>4.04</v>
      </c>
      <c r="E37" s="17">
        <f t="shared" si="0"/>
        <v>2.27</v>
      </c>
    </row>
    <row r="38" spans="1:5" x14ac:dyDescent="0.2">
      <c r="A38" s="6">
        <v>46069</v>
      </c>
      <c r="B38" s="9">
        <v>4992.08</v>
      </c>
      <c r="E38" s="17" t="str">
        <f t="shared" si="0"/>
        <v/>
      </c>
    </row>
    <row r="39" spans="1:5" x14ac:dyDescent="0.2">
      <c r="A39" s="6">
        <v>46070</v>
      </c>
      <c r="B39" s="9">
        <v>4877.8900000000003</v>
      </c>
      <c r="C39" s="16">
        <v>1.79</v>
      </c>
      <c r="D39" s="16">
        <v>4.05</v>
      </c>
      <c r="E39" s="17">
        <f t="shared" si="0"/>
        <v>2.2599999999999998</v>
      </c>
    </row>
    <row r="40" spans="1:5" x14ac:dyDescent="0.2">
      <c r="A40" s="6">
        <v>46071</v>
      </c>
      <c r="B40" s="9">
        <v>4977.5600000000004</v>
      </c>
      <c r="C40" s="16">
        <v>1.8</v>
      </c>
      <c r="D40" s="16">
        <v>4.09</v>
      </c>
      <c r="E40" s="17">
        <f t="shared" si="0"/>
        <v>2.29</v>
      </c>
    </row>
    <row r="41" spans="1:5" x14ac:dyDescent="0.2">
      <c r="A41" s="6">
        <v>46072</v>
      </c>
      <c r="B41" s="9">
        <v>4996.1000000000004</v>
      </c>
      <c r="C41" s="16">
        <v>1.79</v>
      </c>
      <c r="D41" s="16">
        <v>4.08</v>
      </c>
      <c r="E41" s="17">
        <f t="shared" si="0"/>
        <v>2.29</v>
      </c>
    </row>
    <row r="42" spans="1:5" x14ac:dyDescent="0.2">
      <c r="A42" s="6">
        <v>46073</v>
      </c>
      <c r="B42" s="9">
        <v>5107.45</v>
      </c>
      <c r="C42" s="16">
        <v>1.8</v>
      </c>
      <c r="D42" s="16">
        <v>4.08</v>
      </c>
      <c r="E42" s="17">
        <f t="shared" si="0"/>
        <v>2.2800000000000002</v>
      </c>
    </row>
    <row r="43" spans="1:5" x14ac:dyDescent="0.2">
      <c r="A43" s="6">
        <v>46076</v>
      </c>
      <c r="B43" s="9">
        <v>5227.42</v>
      </c>
      <c r="C43" s="16">
        <v>1.77</v>
      </c>
      <c r="D43" s="16">
        <v>4.03</v>
      </c>
      <c r="E43" s="17">
        <f t="shared" si="0"/>
        <v>2.2600000000000002</v>
      </c>
    </row>
    <row r="44" spans="1:5" x14ac:dyDescent="0.2">
      <c r="A44" s="6">
        <v>46077</v>
      </c>
      <c r="B44" s="9">
        <v>5143.8500000000004</v>
      </c>
      <c r="C44" s="16">
        <v>1.78</v>
      </c>
      <c r="D44" s="16">
        <v>4.04</v>
      </c>
      <c r="E44" s="17">
        <f t="shared" si="0"/>
        <v>2.2599999999999998</v>
      </c>
    </row>
    <row r="45" spans="1:5" x14ac:dyDescent="0.2">
      <c r="A45" s="6">
        <v>46078</v>
      </c>
      <c r="B45" s="9">
        <v>5164.78</v>
      </c>
      <c r="C45" s="16">
        <v>1.77</v>
      </c>
      <c r="D45" s="16">
        <v>4.05</v>
      </c>
      <c r="E45" s="17">
        <f t="shared" si="0"/>
        <v>2.2799999999999998</v>
      </c>
    </row>
    <row r="46" spans="1:5" x14ac:dyDescent="0.2">
      <c r="A46" s="6">
        <v>46079</v>
      </c>
      <c r="B46" s="9">
        <v>5184.97</v>
      </c>
      <c r="C46" s="16">
        <v>1.74</v>
      </c>
      <c r="D46" s="16">
        <v>4.0199999999999996</v>
      </c>
      <c r="E46" s="17">
        <f t="shared" si="0"/>
        <v>2.2799999999999994</v>
      </c>
    </row>
    <row r="47" spans="1:5" x14ac:dyDescent="0.2">
      <c r="A47" s="6">
        <v>46080</v>
      </c>
      <c r="B47" s="9">
        <v>5278.93</v>
      </c>
      <c r="C47" s="16">
        <v>1.72</v>
      </c>
      <c r="D47" s="16">
        <v>3.97</v>
      </c>
      <c r="E47" s="17">
        <f t="shared" si="0"/>
        <v>2.25</v>
      </c>
    </row>
    <row r="48" spans="1:5" x14ac:dyDescent="0.2">
      <c r="A48" s="6">
        <v>46083</v>
      </c>
      <c r="B48" s="9">
        <v>5322.12</v>
      </c>
      <c r="C48" s="16">
        <v>1.76</v>
      </c>
      <c r="D48" s="16">
        <v>4.05</v>
      </c>
      <c r="E48" s="17">
        <f t="shared" si="0"/>
        <v>2.29</v>
      </c>
    </row>
    <row r="49" spans="1:5" x14ac:dyDescent="0.2">
      <c r="A49" s="6">
        <v>46084</v>
      </c>
      <c r="B49" s="9">
        <v>5088.83</v>
      </c>
      <c r="C49" s="16">
        <v>1.77</v>
      </c>
      <c r="D49" s="16">
        <v>4.0599999999999996</v>
      </c>
      <c r="E49" s="17">
        <f t="shared" si="0"/>
        <v>2.2899999999999996</v>
      </c>
    </row>
    <row r="50" spans="1:5" x14ac:dyDescent="0.2">
      <c r="A50" s="6">
        <v>46085</v>
      </c>
      <c r="B50" s="9">
        <v>5140.3599999999997</v>
      </c>
      <c r="C50" s="16">
        <v>1.8</v>
      </c>
      <c r="D50" s="16">
        <v>4.09</v>
      </c>
      <c r="E50" s="17">
        <f t="shared" si="0"/>
        <v>2.29</v>
      </c>
    </row>
    <row r="51" spans="1:5" x14ac:dyDescent="0.2">
      <c r="A51" s="6">
        <v>46086</v>
      </c>
      <c r="B51" s="9">
        <v>5082.3</v>
      </c>
      <c r="C51" s="16">
        <v>1.82</v>
      </c>
      <c r="D51" s="16">
        <v>4.13</v>
      </c>
      <c r="E51" s="17">
        <f t="shared" si="0"/>
        <v>2.3099999999999996</v>
      </c>
    </row>
    <row r="52" spans="1:5" x14ac:dyDescent="0.2">
      <c r="A52" s="6">
        <v>46087</v>
      </c>
      <c r="B52" s="9">
        <v>5171.74</v>
      </c>
      <c r="C52" s="16">
        <v>1.8</v>
      </c>
      <c r="D52" s="16">
        <v>4.1500000000000004</v>
      </c>
      <c r="E52" s="17">
        <f t="shared" si="0"/>
        <v>2.3500000000000005</v>
      </c>
    </row>
    <row r="53" spans="1:5" x14ac:dyDescent="0.2">
      <c r="A53" s="6">
        <v>46090</v>
      </c>
      <c r="B53" s="9">
        <v>5138.53</v>
      </c>
      <c r="C53" s="16">
        <v>1.78</v>
      </c>
      <c r="D53" s="16">
        <v>4.12</v>
      </c>
      <c r="E53" s="17">
        <f t="shared" si="0"/>
        <v>2.34</v>
      </c>
    </row>
    <row r="54" spans="1:5" x14ac:dyDescent="0.2">
      <c r="A54" s="6">
        <v>46091</v>
      </c>
      <c r="B54" s="9">
        <v>5191.9799999999996</v>
      </c>
      <c r="C54" s="16">
        <v>1.82</v>
      </c>
      <c r="D54" s="16">
        <v>4.1500000000000004</v>
      </c>
      <c r="E54" s="17">
        <f t="shared" si="0"/>
        <v>2.33</v>
      </c>
    </row>
    <row r="55" spans="1:5" x14ac:dyDescent="0.2">
      <c r="A55" s="6">
        <v>46092</v>
      </c>
      <c r="B55" s="9">
        <v>5176.46</v>
      </c>
      <c r="C55" s="16">
        <v>1.85</v>
      </c>
      <c r="D55" s="16">
        <v>4.21</v>
      </c>
      <c r="E55" s="17">
        <f t="shared" si="0"/>
        <v>2.36</v>
      </c>
    </row>
    <row r="56" spans="1:5" x14ac:dyDescent="0.2">
      <c r="A56" s="6">
        <v>46093</v>
      </c>
      <c r="B56" s="9">
        <v>5079.21</v>
      </c>
      <c r="C56" s="16">
        <v>1.89</v>
      </c>
      <c r="D56" s="16">
        <v>4.2699999999999996</v>
      </c>
      <c r="E56" s="17">
        <f t="shared" si="0"/>
        <v>2.38</v>
      </c>
    </row>
    <row r="57" spans="1:5" x14ac:dyDescent="0.2">
      <c r="A57" s="6">
        <v>46094</v>
      </c>
      <c r="B57" s="9">
        <v>5019.49</v>
      </c>
      <c r="C57" s="16">
        <v>1.92</v>
      </c>
      <c r="D57" s="16">
        <v>4.28</v>
      </c>
      <c r="E57" s="17">
        <f t="shared" si="0"/>
        <v>2.3600000000000003</v>
      </c>
    </row>
    <row r="58" spans="1:5" x14ac:dyDescent="0.2">
      <c r="A58" s="6">
        <v>46097</v>
      </c>
      <c r="B58" s="9">
        <v>5006.41</v>
      </c>
      <c r="C58" s="16">
        <v>1.87</v>
      </c>
      <c r="D58" s="16">
        <v>4.2300000000000004</v>
      </c>
      <c r="E58" s="17">
        <f t="shared" si="0"/>
        <v>2.3600000000000003</v>
      </c>
    </row>
    <row r="59" spans="1:5" x14ac:dyDescent="0.2">
      <c r="A59" s="6">
        <v>46098</v>
      </c>
      <c r="B59" s="9">
        <v>5005.6099999999997</v>
      </c>
      <c r="C59" s="16">
        <v>1.83</v>
      </c>
      <c r="D59" s="16">
        <v>4.2</v>
      </c>
      <c r="E59" s="17">
        <f t="shared" si="0"/>
        <v>2.37</v>
      </c>
    </row>
    <row r="60" spans="1:5" x14ac:dyDescent="0.2">
      <c r="A60" s="6">
        <v>46099</v>
      </c>
      <c r="B60" s="9">
        <v>4818.5</v>
      </c>
      <c r="C60" s="16">
        <v>1.86</v>
      </c>
      <c r="D60" s="16">
        <v>4.26</v>
      </c>
      <c r="E60" s="17">
        <f t="shared" si="0"/>
        <v>2.3999999999999995</v>
      </c>
    </row>
    <row r="61" spans="1:5" x14ac:dyDescent="0.2">
      <c r="A61" s="6">
        <v>46100</v>
      </c>
      <c r="B61" s="9">
        <v>4650.0200000000004</v>
      </c>
      <c r="C61" s="16">
        <v>1.88</v>
      </c>
      <c r="D61" s="16">
        <v>4.25</v>
      </c>
      <c r="E61" s="17">
        <f t="shared" si="0"/>
        <v>2.37</v>
      </c>
    </row>
    <row r="62" spans="1:5" x14ac:dyDescent="0.2">
      <c r="A62" s="6">
        <v>46101</v>
      </c>
      <c r="B62" s="9">
        <v>4492.42</v>
      </c>
      <c r="C62" s="16">
        <v>2.0099999999999998</v>
      </c>
      <c r="D62" s="16">
        <v>4.3899999999999997</v>
      </c>
      <c r="E62" s="17">
        <f t="shared" si="0"/>
        <v>2.38</v>
      </c>
    </row>
    <row r="63" spans="1:5" x14ac:dyDescent="0.2">
      <c r="A63" s="6">
        <v>46104</v>
      </c>
      <c r="B63" s="9">
        <v>4407.18</v>
      </c>
      <c r="C63" s="16">
        <v>2.0099999999999998</v>
      </c>
      <c r="D63" s="16">
        <v>4.34</v>
      </c>
      <c r="E63" s="17">
        <f t="shared" si="0"/>
        <v>2.33</v>
      </c>
    </row>
    <row r="64" spans="1:5" x14ac:dyDescent="0.2">
      <c r="A64" s="6">
        <v>46105</v>
      </c>
      <c r="B64" s="9">
        <v>4475.51</v>
      </c>
      <c r="C64" s="16">
        <v>2.06</v>
      </c>
      <c r="D64" s="16">
        <v>4.3899999999999997</v>
      </c>
      <c r="E64" s="17">
        <f t="shared" si="0"/>
        <v>2.3299999999999996</v>
      </c>
    </row>
    <row r="65" spans="1:5" x14ac:dyDescent="0.2">
      <c r="A65" s="6">
        <v>46106</v>
      </c>
      <c r="B65" s="9">
        <v>4506</v>
      </c>
      <c r="C65" s="16">
        <v>2.02</v>
      </c>
      <c r="D65" s="16">
        <v>4.33</v>
      </c>
      <c r="E65" s="17">
        <f t="shared" si="0"/>
        <v>2.31</v>
      </c>
    </row>
    <row r="66" spans="1:5" x14ac:dyDescent="0.2">
      <c r="A66" s="6">
        <v>46107</v>
      </c>
      <c r="B66" s="9">
        <v>4376.1099999999997</v>
      </c>
      <c r="C66" s="16">
        <v>2.08</v>
      </c>
      <c r="D66" s="16">
        <v>4.42</v>
      </c>
      <c r="E66" s="17">
        <f t="shared" si="0"/>
        <v>2.34</v>
      </c>
    </row>
    <row r="67" spans="1:5" x14ac:dyDescent="0.2">
      <c r="A67" s="6">
        <v>46108</v>
      </c>
      <c r="B67" s="9">
        <v>4494.09</v>
      </c>
      <c r="C67" s="16">
        <v>2.13</v>
      </c>
      <c r="D67" s="16">
        <v>4.4400000000000004</v>
      </c>
      <c r="E67" s="17">
        <f t="shared" si="0"/>
        <v>2.3100000000000005</v>
      </c>
    </row>
    <row r="68" spans="1:5" x14ac:dyDescent="0.2">
      <c r="A68" s="6">
        <v>46111</v>
      </c>
      <c r="B68" s="9">
        <v>4510.92</v>
      </c>
      <c r="C68" s="16">
        <v>2.04</v>
      </c>
      <c r="D68" s="16">
        <v>4.3499999999999996</v>
      </c>
      <c r="E68" s="17">
        <f t="shared" si="0"/>
        <v>2.3099999999999996</v>
      </c>
    </row>
    <row r="69" spans="1:5" x14ac:dyDescent="0.2">
      <c r="A69" s="6">
        <v>46112</v>
      </c>
      <c r="B69" s="9">
        <v>4668.0600000000004</v>
      </c>
      <c r="C69" s="16">
        <v>2</v>
      </c>
      <c r="D69" s="16">
        <v>4.3</v>
      </c>
      <c r="E69" s="17">
        <f t="shared" si="0"/>
        <v>2.2999999999999998</v>
      </c>
    </row>
    <row r="70" spans="1:5" x14ac:dyDescent="0.2">
      <c r="A70" s="6">
        <v>46113</v>
      </c>
      <c r="B70" s="9">
        <v>4758.57</v>
      </c>
      <c r="C70" s="16">
        <v>2.02</v>
      </c>
      <c r="D70" s="16">
        <v>4.33</v>
      </c>
      <c r="E70" s="17">
        <f t="shared" ref="E70:E133" si="1">IF(AND(ISNUMBER(C70),ISNUMBER(D70)),D70-C70,"")</f>
        <v>2.31</v>
      </c>
    </row>
    <row r="71" spans="1:5" x14ac:dyDescent="0.2">
      <c r="A71" s="6">
        <v>46114</v>
      </c>
      <c r="B71" s="9">
        <v>4676.76</v>
      </c>
      <c r="C71" s="16">
        <v>1.97</v>
      </c>
      <c r="D71" s="16">
        <v>4.3099999999999996</v>
      </c>
      <c r="E71" s="17">
        <f t="shared" si="1"/>
        <v>2.34</v>
      </c>
    </row>
    <row r="72" spans="1:5" x14ac:dyDescent="0.2">
      <c r="A72" s="6">
        <v>46115</v>
      </c>
      <c r="C72" s="16">
        <v>1.99</v>
      </c>
      <c r="D72" s="16">
        <v>4.3499999999999996</v>
      </c>
      <c r="E72" s="17">
        <f t="shared" si="1"/>
        <v>2.3599999999999994</v>
      </c>
    </row>
    <row r="73" spans="1:5" x14ac:dyDescent="0.2">
      <c r="A73" s="6">
        <v>46118</v>
      </c>
      <c r="B73" s="9">
        <v>4649.8500000000004</v>
      </c>
      <c r="C73" s="16">
        <v>1.98</v>
      </c>
      <c r="D73" s="16">
        <v>4.34</v>
      </c>
      <c r="E73" s="17">
        <f t="shared" si="1"/>
        <v>2.36</v>
      </c>
    </row>
    <row r="74" spans="1:5" x14ac:dyDescent="0.2">
      <c r="A74" s="6">
        <v>46119</v>
      </c>
      <c r="B74" s="9">
        <v>4706.51</v>
      </c>
      <c r="C74" s="16">
        <v>1.96</v>
      </c>
      <c r="D74" s="16">
        <v>4.33</v>
      </c>
      <c r="E74" s="17">
        <f t="shared" si="1"/>
        <v>2.37</v>
      </c>
    </row>
    <row r="75" spans="1:5" x14ac:dyDescent="0.2">
      <c r="A75" s="6">
        <v>46120</v>
      </c>
      <c r="B75" s="9">
        <v>4719.1499999999996</v>
      </c>
      <c r="C75" s="16">
        <v>1.96</v>
      </c>
      <c r="D75" s="16">
        <v>4.29</v>
      </c>
      <c r="E75" s="17">
        <f t="shared" si="1"/>
        <v>2.33</v>
      </c>
    </row>
    <row r="76" spans="1:5" x14ac:dyDescent="0.2">
      <c r="A76" s="6">
        <v>46121</v>
      </c>
      <c r="B76" s="9">
        <v>4766.8900000000003</v>
      </c>
      <c r="C76" s="16">
        <v>1.95</v>
      </c>
      <c r="D76" s="16">
        <v>4.29</v>
      </c>
      <c r="E76" s="17">
        <f t="shared" si="1"/>
        <v>2.34</v>
      </c>
    </row>
    <row r="77" spans="1:5" x14ac:dyDescent="0.2">
      <c r="A77" s="6">
        <v>46122</v>
      </c>
      <c r="B77" s="9">
        <v>4749.75</v>
      </c>
      <c r="C77" s="16">
        <v>1.95</v>
      </c>
      <c r="D77" s="16">
        <v>4.3099999999999996</v>
      </c>
      <c r="E77" s="17">
        <f t="shared" si="1"/>
        <v>2.3599999999999994</v>
      </c>
    </row>
    <row r="78" spans="1:5" x14ac:dyDescent="0.2">
      <c r="A78" s="6">
        <v>46125</v>
      </c>
      <c r="B78" s="9">
        <v>4740.3100000000004</v>
      </c>
      <c r="C78" s="16">
        <v>1.92</v>
      </c>
      <c r="D78" s="16">
        <v>4.3</v>
      </c>
      <c r="E78" s="17">
        <f t="shared" si="1"/>
        <v>2.38</v>
      </c>
    </row>
    <row r="79" spans="1:5" x14ac:dyDescent="0.2">
      <c r="A79" s="6">
        <v>46126</v>
      </c>
      <c r="B79" s="9">
        <v>4841.75</v>
      </c>
      <c r="C79" s="16">
        <v>1.89</v>
      </c>
      <c r="D79" s="16">
        <v>4.26</v>
      </c>
      <c r="E79" s="17">
        <f t="shared" si="1"/>
        <v>2.37</v>
      </c>
    </row>
    <row r="80" spans="1:5" x14ac:dyDescent="0.2">
      <c r="A80" s="6">
        <v>46127</v>
      </c>
      <c r="B80" s="9">
        <v>4791.04</v>
      </c>
      <c r="C80" s="16">
        <v>1.9</v>
      </c>
      <c r="D80" s="16">
        <v>4.29</v>
      </c>
      <c r="E80" s="17">
        <f t="shared" si="1"/>
        <v>2.39</v>
      </c>
    </row>
    <row r="81" spans="1:5" x14ac:dyDescent="0.2">
      <c r="A81" s="6">
        <v>46128</v>
      </c>
      <c r="B81" s="9">
        <v>4790.0600000000004</v>
      </c>
      <c r="C81" s="16">
        <v>1.93</v>
      </c>
      <c r="D81" s="16">
        <v>4.32</v>
      </c>
      <c r="E81" s="17">
        <f t="shared" si="1"/>
        <v>2.3900000000000006</v>
      </c>
    </row>
    <row r="82" spans="1:5" x14ac:dyDescent="0.2">
      <c r="A82" s="6">
        <v>46129</v>
      </c>
      <c r="B82" s="9">
        <v>4830.34</v>
      </c>
      <c r="C82" s="16">
        <v>1.9</v>
      </c>
      <c r="D82" s="16">
        <v>4.26</v>
      </c>
      <c r="E82" s="17">
        <f t="shared" si="1"/>
        <v>2.36</v>
      </c>
    </row>
    <row r="83" spans="1:5" x14ac:dyDescent="0.2">
      <c r="A83" s="6">
        <v>46132</v>
      </c>
      <c r="B83" s="9">
        <v>4820.66</v>
      </c>
      <c r="C83" s="16">
        <v>1.91</v>
      </c>
      <c r="D83" s="16">
        <v>4.26</v>
      </c>
      <c r="E83" s="17">
        <f t="shared" si="1"/>
        <v>2.3499999999999996</v>
      </c>
    </row>
    <row r="84" spans="1:5" x14ac:dyDescent="0.2">
      <c r="A84" s="6">
        <v>46133</v>
      </c>
      <c r="B84" s="9">
        <v>4720.04</v>
      </c>
      <c r="C84" s="16">
        <v>1.92</v>
      </c>
      <c r="D84" s="16">
        <v>4.3</v>
      </c>
      <c r="E84" s="17">
        <f t="shared" si="1"/>
        <v>2.38</v>
      </c>
    </row>
    <row r="85" spans="1:5" x14ac:dyDescent="0.2">
      <c r="A85" s="6">
        <v>46134</v>
      </c>
      <c r="B85" s="9">
        <v>4739.8999999999996</v>
      </c>
      <c r="C85" s="16">
        <v>1.92</v>
      </c>
      <c r="D85" s="16">
        <v>4.3</v>
      </c>
      <c r="E85" s="17">
        <f t="shared" si="1"/>
        <v>2.38</v>
      </c>
    </row>
    <row r="86" spans="1:5" x14ac:dyDescent="0.2">
      <c r="A86" s="6">
        <v>46135</v>
      </c>
      <c r="B86" s="9">
        <v>4694.1400000000003</v>
      </c>
      <c r="C86" s="16">
        <v>1.92</v>
      </c>
      <c r="D86" s="16">
        <v>4.34</v>
      </c>
      <c r="E86" s="17">
        <f t="shared" si="1"/>
        <v>2.42</v>
      </c>
    </row>
    <row r="87" spans="1:5" x14ac:dyDescent="0.2">
      <c r="A87" s="6">
        <v>46136</v>
      </c>
      <c r="B87" s="9">
        <v>4709.5</v>
      </c>
      <c r="C87" s="16">
        <v>1.89</v>
      </c>
      <c r="D87" s="16">
        <v>4.3099999999999996</v>
      </c>
      <c r="E87" s="17">
        <f t="shared" si="1"/>
        <v>2.42</v>
      </c>
    </row>
    <row r="88" spans="1:5" x14ac:dyDescent="0.2">
      <c r="A88" s="6">
        <v>46139</v>
      </c>
      <c r="B88" s="9">
        <v>4682.08</v>
      </c>
      <c r="C88" s="16">
        <v>1.91</v>
      </c>
      <c r="D88" s="16">
        <v>4.3499999999999996</v>
      </c>
      <c r="E88" s="17">
        <f t="shared" si="1"/>
        <v>2.4399999999999995</v>
      </c>
    </row>
    <row r="89" spans="1:5" x14ac:dyDescent="0.2">
      <c r="A89" s="6">
        <v>46140</v>
      </c>
      <c r="B89" s="9">
        <v>4596.75</v>
      </c>
      <c r="C89" s="16">
        <v>1.92</v>
      </c>
      <c r="D89" s="16">
        <v>4.3600000000000003</v>
      </c>
      <c r="E89" s="17">
        <f t="shared" si="1"/>
        <v>2.4400000000000004</v>
      </c>
    </row>
    <row r="90" spans="1:5" x14ac:dyDescent="0.2">
      <c r="A90" s="6">
        <v>46141</v>
      </c>
      <c r="B90" s="9">
        <v>4547.95</v>
      </c>
      <c r="C90" s="16">
        <v>1.96</v>
      </c>
      <c r="D90" s="16">
        <v>4.42</v>
      </c>
      <c r="E90" s="17">
        <f t="shared" si="1"/>
        <v>2.46</v>
      </c>
    </row>
    <row r="91" spans="1:5" x14ac:dyDescent="0.2">
      <c r="A91" s="6">
        <v>46142</v>
      </c>
      <c r="B91" s="9">
        <v>4617.8500000000004</v>
      </c>
      <c r="C91" s="16">
        <v>1.94</v>
      </c>
      <c r="D91" s="16">
        <v>4.4000000000000004</v>
      </c>
      <c r="E91" s="17">
        <f t="shared" si="1"/>
        <v>2.4600000000000004</v>
      </c>
    </row>
    <row r="92" spans="1:5" x14ac:dyDescent="0.2">
      <c r="A92" s="6">
        <v>46143</v>
      </c>
      <c r="B92" s="9">
        <v>4614.21</v>
      </c>
      <c r="C92" s="16">
        <v>1.91</v>
      </c>
      <c r="D92" s="16">
        <v>4.3899999999999997</v>
      </c>
      <c r="E92" s="17">
        <f t="shared" si="1"/>
        <v>2.4799999999999995</v>
      </c>
    </row>
    <row r="93" spans="1:5" x14ac:dyDescent="0.2">
      <c r="A93" s="6">
        <v>46146</v>
      </c>
      <c r="B93" s="9">
        <v>4521.91</v>
      </c>
      <c r="C93" s="16">
        <v>1.95</v>
      </c>
      <c r="D93" s="16">
        <v>4.45</v>
      </c>
      <c r="E93" s="17">
        <f t="shared" si="1"/>
        <v>2.5</v>
      </c>
    </row>
    <row r="94" spans="1:5" x14ac:dyDescent="0.2">
      <c r="A94" s="6">
        <v>46147</v>
      </c>
      <c r="B94" s="9">
        <v>4556.92</v>
      </c>
      <c r="C94" s="16">
        <v>1.96</v>
      </c>
      <c r="D94" s="16">
        <v>4.43</v>
      </c>
      <c r="E94" s="17">
        <f t="shared" si="1"/>
        <v>2.4699999999999998</v>
      </c>
    </row>
    <row r="95" spans="1:5" x14ac:dyDescent="0.2">
      <c r="A95" s="6">
        <v>46148</v>
      </c>
      <c r="B95" s="9">
        <v>4691.3599999999997</v>
      </c>
      <c r="C95" s="16">
        <v>1.94</v>
      </c>
      <c r="D95" s="16">
        <v>4.3600000000000003</v>
      </c>
      <c r="E95" s="17">
        <f t="shared" si="1"/>
        <v>2.4200000000000004</v>
      </c>
    </row>
    <row r="96" spans="1:5" x14ac:dyDescent="0.2">
      <c r="A96" s="6">
        <v>46149</v>
      </c>
      <c r="B96" s="9">
        <v>4685.8</v>
      </c>
      <c r="C96" s="16">
        <v>1.96</v>
      </c>
      <c r="D96" s="16">
        <v>4.41</v>
      </c>
      <c r="E96" s="17">
        <f t="shared" si="1"/>
        <v>2.4500000000000002</v>
      </c>
    </row>
    <row r="97" spans="1:5" x14ac:dyDescent="0.2">
      <c r="A97" s="6">
        <v>46150</v>
      </c>
      <c r="B97" s="9">
        <v>4715.25</v>
      </c>
      <c r="C97" s="16">
        <v>1.93</v>
      </c>
      <c r="D97" s="16">
        <v>4.38</v>
      </c>
      <c r="E97" s="17">
        <f t="shared" si="1"/>
        <v>2.4500000000000002</v>
      </c>
    </row>
    <row r="98" spans="1:5" x14ac:dyDescent="0.2">
      <c r="A98" s="6">
        <v>46153</v>
      </c>
      <c r="B98" s="9">
        <v>4736.17</v>
      </c>
      <c r="C98" s="16">
        <v>1.95</v>
      </c>
      <c r="D98" s="16">
        <v>4.42</v>
      </c>
      <c r="E98" s="17">
        <f t="shared" si="1"/>
        <v>2.4699999999999998</v>
      </c>
    </row>
    <row r="99" spans="1:5" x14ac:dyDescent="0.2">
      <c r="A99" s="6">
        <v>46154</v>
      </c>
      <c r="B99" s="9">
        <v>4715.13</v>
      </c>
      <c r="C99" s="16">
        <v>1.99</v>
      </c>
      <c r="D99" s="16">
        <v>4.46</v>
      </c>
      <c r="E99" s="17">
        <f t="shared" si="1"/>
        <v>2.4699999999999998</v>
      </c>
    </row>
    <row r="100" spans="1:5" x14ac:dyDescent="0.2">
      <c r="A100" s="6">
        <v>46155</v>
      </c>
      <c r="B100" s="9">
        <v>4688.76</v>
      </c>
      <c r="C100" s="16">
        <v>1.99</v>
      </c>
      <c r="D100" s="16">
        <v>4.46</v>
      </c>
      <c r="E100" s="17">
        <f t="shared" si="1"/>
        <v>2.4699999999999998</v>
      </c>
    </row>
    <row r="101" spans="1:5" x14ac:dyDescent="0.2">
      <c r="A101" s="6">
        <v>46156</v>
      </c>
      <c r="B101" s="9">
        <v>4651.9799999999996</v>
      </c>
      <c r="C101" s="16">
        <v>2</v>
      </c>
      <c r="D101" s="16">
        <v>4.47</v>
      </c>
      <c r="E101" s="17">
        <f t="shared" si="1"/>
        <v>2.4699999999999998</v>
      </c>
    </row>
    <row r="102" spans="1:5" x14ac:dyDescent="0.2">
      <c r="A102" s="6">
        <v>46157</v>
      </c>
      <c r="B102" s="9">
        <v>4540.08</v>
      </c>
      <c r="C102" s="16">
        <v>2.1</v>
      </c>
      <c r="D102" s="16">
        <v>4.59</v>
      </c>
      <c r="E102" s="17">
        <f t="shared" si="1"/>
        <v>2.4899999999999998</v>
      </c>
    </row>
    <row r="103" spans="1:5" x14ac:dyDescent="0.2">
      <c r="A103" s="6">
        <v>46160</v>
      </c>
      <c r="B103" s="9">
        <v>4566.67</v>
      </c>
      <c r="C103" s="16">
        <v>2.13</v>
      </c>
      <c r="D103" s="16">
        <v>4.6100000000000003</v>
      </c>
      <c r="E103" s="17">
        <f t="shared" si="1"/>
        <v>2.4800000000000004</v>
      </c>
    </row>
    <row r="104" spans="1:5" x14ac:dyDescent="0.2">
      <c r="A104" s="6">
        <v>46161</v>
      </c>
      <c r="B104" s="9">
        <v>4482.6099999999997</v>
      </c>
      <c r="C104" s="16">
        <v>2.1800000000000002</v>
      </c>
      <c r="D104" s="16">
        <v>4.67</v>
      </c>
      <c r="E104" s="17">
        <f t="shared" si="1"/>
        <v>2.4899999999999998</v>
      </c>
    </row>
    <row r="105" spans="1:5" x14ac:dyDescent="0.2">
      <c r="A105" s="6">
        <v>46162</v>
      </c>
      <c r="B105" s="9">
        <v>4544.1899999999996</v>
      </c>
      <c r="C105" s="16">
        <v>2.13</v>
      </c>
      <c r="D105" s="16">
        <v>4.57</v>
      </c>
      <c r="E105" s="17">
        <f t="shared" si="1"/>
        <v>2.4400000000000004</v>
      </c>
    </row>
    <row r="106" spans="1:5" x14ac:dyDescent="0.2">
      <c r="A106" s="6">
        <v>46163</v>
      </c>
      <c r="B106" s="9">
        <v>4543.05</v>
      </c>
      <c r="C106" s="16">
        <v>2.1800000000000002</v>
      </c>
      <c r="D106" s="16">
        <v>4.57</v>
      </c>
      <c r="E106" s="17">
        <f t="shared" si="1"/>
        <v>2.39</v>
      </c>
    </row>
    <row r="107" spans="1:5" x14ac:dyDescent="0.2">
      <c r="A107" s="6">
        <v>46164</v>
      </c>
      <c r="B107" s="9">
        <v>4509.3999999999996</v>
      </c>
      <c r="C107" s="16">
        <v>2.16</v>
      </c>
      <c r="D107" s="16">
        <v>4.5599999999999996</v>
      </c>
      <c r="E107" s="17">
        <f t="shared" si="1"/>
        <v>2.3999999999999995</v>
      </c>
    </row>
    <row r="108" spans="1:5" x14ac:dyDescent="0.2">
      <c r="A108" s="6">
        <v>46167</v>
      </c>
      <c r="B108" s="9">
        <v>4570.5</v>
      </c>
      <c r="E108" s="17" t="str">
        <f t="shared" si="1"/>
        <v/>
      </c>
    </row>
    <row r="109" spans="1:5" x14ac:dyDescent="0.2">
      <c r="A109" s="6">
        <v>46168</v>
      </c>
      <c r="B109" s="9">
        <v>4507.88</v>
      </c>
      <c r="C109" s="16">
        <v>2.1</v>
      </c>
      <c r="D109" s="16">
        <v>4.5</v>
      </c>
      <c r="E109" s="17">
        <f t="shared" si="1"/>
        <v>2.4</v>
      </c>
    </row>
    <row r="110" spans="1:5" x14ac:dyDescent="0.2">
      <c r="A110" s="6">
        <v>46169</v>
      </c>
      <c r="B110" s="9">
        <v>4453.9799999999996</v>
      </c>
      <c r="C110" s="16">
        <v>2.09</v>
      </c>
      <c r="D110" s="16">
        <v>4.4800000000000004</v>
      </c>
      <c r="E110" s="17">
        <f t="shared" si="1"/>
        <v>2.3900000000000006</v>
      </c>
    </row>
    <row r="111" spans="1:5" x14ac:dyDescent="0.2">
      <c r="A111" s="6">
        <v>46170</v>
      </c>
      <c r="B111" s="9">
        <v>4495.29</v>
      </c>
      <c r="C111" s="16">
        <v>2.06</v>
      </c>
      <c r="D111" s="16">
        <v>4.45</v>
      </c>
      <c r="E111" s="17">
        <f t="shared" si="1"/>
        <v>2.39</v>
      </c>
    </row>
    <row r="112" spans="1:5" x14ac:dyDescent="0.2">
      <c r="A112" s="6">
        <v>46171</v>
      </c>
      <c r="B112" s="9">
        <v>4540.26</v>
      </c>
      <c r="C112" s="16">
        <v>2.0699999999999998</v>
      </c>
      <c r="D112" s="16">
        <v>4.45</v>
      </c>
      <c r="E112" s="17">
        <f t="shared" si="1"/>
        <v>2.3800000000000003</v>
      </c>
    </row>
    <row r="113" spans="1:5" x14ac:dyDescent="0.2">
      <c r="A113" s="6">
        <v>46174</v>
      </c>
      <c r="B113" s="9">
        <v>4484.9799999999996</v>
      </c>
      <c r="C113" s="16">
        <v>2.0699999999999998</v>
      </c>
      <c r="D113" s="16">
        <v>4.47</v>
      </c>
      <c r="E113" s="17">
        <f t="shared" si="1"/>
        <v>2.4</v>
      </c>
    </row>
    <row r="114" spans="1:5" x14ac:dyDescent="0.2">
      <c r="A114" s="6">
        <v>46175</v>
      </c>
      <c r="B114" s="9">
        <v>4488.8599999999997</v>
      </c>
      <c r="C114" s="16">
        <v>2.0699999999999998</v>
      </c>
      <c r="D114" s="16">
        <v>4.46</v>
      </c>
      <c r="E114" s="17">
        <f t="shared" si="1"/>
        <v>2.39</v>
      </c>
    </row>
    <row r="115" spans="1:5" x14ac:dyDescent="0.2">
      <c r="A115" s="6">
        <v>46176</v>
      </c>
      <c r="B115" s="9">
        <v>4434.8100000000004</v>
      </c>
      <c r="C115" s="16">
        <v>2.11</v>
      </c>
      <c r="D115" s="16">
        <v>4.49</v>
      </c>
      <c r="E115" s="17">
        <f t="shared" si="1"/>
        <v>2.3800000000000003</v>
      </c>
    </row>
    <row r="116" spans="1:5" x14ac:dyDescent="0.2">
      <c r="A116" s="6">
        <v>46177</v>
      </c>
      <c r="B116" s="9">
        <v>4474.8</v>
      </c>
      <c r="C116" s="16">
        <v>2.11</v>
      </c>
      <c r="D116" s="16">
        <v>4.47</v>
      </c>
      <c r="E116" s="17">
        <f t="shared" si="1"/>
        <v>2.36</v>
      </c>
    </row>
    <row r="117" spans="1:5" x14ac:dyDescent="0.2">
      <c r="A117" s="6">
        <v>46178</v>
      </c>
      <c r="B117" s="9">
        <v>4328.45</v>
      </c>
      <c r="C117" s="16">
        <v>2.19</v>
      </c>
      <c r="D117" s="16">
        <v>4.55</v>
      </c>
      <c r="E117" s="17">
        <f t="shared" si="1"/>
        <v>2.36</v>
      </c>
    </row>
    <row r="118" spans="1:5" x14ac:dyDescent="0.2">
      <c r="A118" s="6">
        <v>46181</v>
      </c>
      <c r="B118" s="9">
        <v>4330.17</v>
      </c>
      <c r="C118" s="16">
        <v>2.21</v>
      </c>
      <c r="D118" s="16">
        <v>4.5599999999999996</v>
      </c>
      <c r="E118" s="17">
        <f t="shared" si="1"/>
        <v>2.3499999999999996</v>
      </c>
    </row>
    <row r="119" spans="1:5" x14ac:dyDescent="0.2">
      <c r="A119" s="6">
        <v>46182</v>
      </c>
      <c r="B119" s="9">
        <v>4260.8500000000004</v>
      </c>
      <c r="C119" s="16">
        <v>2.2000000000000002</v>
      </c>
      <c r="D119" s="16">
        <v>4.53</v>
      </c>
      <c r="E119" s="17">
        <f t="shared" si="1"/>
        <v>2.33</v>
      </c>
    </row>
    <row r="120" spans="1:5" x14ac:dyDescent="0.2">
      <c r="A120" s="6">
        <v>46183</v>
      </c>
      <c r="B120" s="9">
        <v>4072.31</v>
      </c>
      <c r="C120" s="16">
        <v>2.21</v>
      </c>
      <c r="D120" s="16">
        <v>4.55</v>
      </c>
      <c r="E120" s="17">
        <f t="shared" si="1"/>
        <v>2.34</v>
      </c>
    </row>
    <row r="121" spans="1:5" x14ac:dyDescent="0.2">
      <c r="A121" s="6">
        <v>46184</v>
      </c>
      <c r="B121" s="9">
        <v>4212.26</v>
      </c>
      <c r="C121" s="16">
        <v>2.16</v>
      </c>
      <c r="D121" s="16">
        <v>4.45</v>
      </c>
      <c r="E121" s="17">
        <f t="shared" si="1"/>
        <v>2.29</v>
      </c>
    </row>
    <row r="122" spans="1:5" x14ac:dyDescent="0.2">
      <c r="A122" s="6">
        <v>46185</v>
      </c>
      <c r="B122" s="9">
        <v>4219.33</v>
      </c>
      <c r="C122" s="16">
        <v>2.17</v>
      </c>
      <c r="D122" s="16">
        <v>4.4800000000000004</v>
      </c>
      <c r="E122" s="17">
        <f t="shared" si="1"/>
        <v>2.3100000000000005</v>
      </c>
    </row>
    <row r="123" spans="1:5" x14ac:dyDescent="0.2">
      <c r="A123" s="6">
        <v>46188</v>
      </c>
      <c r="B123" s="9">
        <v>4311.6899999999996</v>
      </c>
      <c r="C123" s="16">
        <v>2.15</v>
      </c>
      <c r="D123" s="16">
        <v>4.47</v>
      </c>
      <c r="E123" s="17">
        <f t="shared" si="1"/>
        <v>2.3199999999999998</v>
      </c>
    </row>
    <row r="124" spans="1:5" x14ac:dyDescent="0.2">
      <c r="A124" s="6">
        <v>46189</v>
      </c>
      <c r="B124" s="9">
        <v>4331.21</v>
      </c>
      <c r="C124" s="16">
        <v>2.14</v>
      </c>
      <c r="D124" s="16">
        <v>4.43</v>
      </c>
      <c r="E124" s="17">
        <f t="shared" si="1"/>
        <v>2.2899999999999996</v>
      </c>
    </row>
    <row r="125" spans="1:5" x14ac:dyDescent="0.2">
      <c r="A125" s="6">
        <v>46190</v>
      </c>
      <c r="B125" s="9">
        <v>4256.93</v>
      </c>
      <c r="C125" s="16">
        <v>2.23</v>
      </c>
      <c r="D125" s="16">
        <v>4.49</v>
      </c>
      <c r="E125" s="17">
        <f t="shared" si="1"/>
        <v>2.2600000000000002</v>
      </c>
    </row>
    <row r="126" spans="1:5" x14ac:dyDescent="0.2">
      <c r="A126" s="6">
        <v>46191</v>
      </c>
      <c r="B126" s="9">
        <v>4209.97</v>
      </c>
      <c r="C126" s="16">
        <v>2.21</v>
      </c>
      <c r="D126" s="16">
        <v>4.46</v>
      </c>
      <c r="E126" s="17">
        <f t="shared" si="1"/>
        <v>2.25</v>
      </c>
    </row>
    <row r="127" spans="1:5" x14ac:dyDescent="0.2">
      <c r="A127" s="6">
        <v>46192</v>
      </c>
      <c r="B127" s="9">
        <v>4155.71</v>
      </c>
      <c r="E127" s="17" t="str">
        <f t="shared" si="1"/>
        <v/>
      </c>
    </row>
    <row r="128" spans="1:5" x14ac:dyDescent="0.2">
      <c r="A128" s="6">
        <v>46195</v>
      </c>
      <c r="B128" s="9">
        <v>4190.0600000000004</v>
      </c>
      <c r="C128" s="16">
        <v>2.2799999999999998</v>
      </c>
      <c r="D128" s="16">
        <v>4.51</v>
      </c>
      <c r="E128" s="17">
        <f t="shared" si="1"/>
        <v>2.23</v>
      </c>
    </row>
    <row r="129" spans="1:5" x14ac:dyDescent="0.2">
      <c r="A129" s="6">
        <v>46196</v>
      </c>
      <c r="B129" s="9">
        <v>4117.1899999999996</v>
      </c>
      <c r="C129" s="16">
        <v>2.29</v>
      </c>
      <c r="D129" s="16">
        <v>4.5</v>
      </c>
      <c r="E129" s="17">
        <f t="shared" si="1"/>
        <v>2.21</v>
      </c>
    </row>
    <row r="130" spans="1:5" x14ac:dyDescent="0.2">
      <c r="A130" s="6">
        <v>46197</v>
      </c>
      <c r="B130" s="9">
        <v>3999.41</v>
      </c>
      <c r="C130" s="16">
        <v>2.23</v>
      </c>
      <c r="D130" s="16">
        <v>4.41</v>
      </c>
      <c r="E130" s="17">
        <f t="shared" si="1"/>
        <v>2.1800000000000002</v>
      </c>
    </row>
    <row r="131" spans="1:5" x14ac:dyDescent="0.2">
      <c r="A131" s="6">
        <v>46198</v>
      </c>
      <c r="B131" s="9">
        <v>4026.73</v>
      </c>
      <c r="C131" s="16">
        <v>2.19</v>
      </c>
      <c r="D131" s="16">
        <v>4.4000000000000004</v>
      </c>
      <c r="E131" s="17">
        <f t="shared" si="1"/>
        <v>2.2100000000000004</v>
      </c>
    </row>
    <row r="132" spans="1:5" x14ac:dyDescent="0.2">
      <c r="A132" s="6">
        <v>46199</v>
      </c>
      <c r="B132" s="9">
        <v>4088.74</v>
      </c>
      <c r="C132" s="16">
        <v>2.1800000000000002</v>
      </c>
      <c r="D132" s="16">
        <v>4.38</v>
      </c>
      <c r="E132" s="17">
        <f t="shared" si="1"/>
        <v>2.1999999999999997</v>
      </c>
    </row>
    <row r="133" spans="1:5" x14ac:dyDescent="0.2">
      <c r="A133" s="6">
        <v>46202</v>
      </c>
      <c r="B133" s="9">
        <v>4015.91</v>
      </c>
      <c r="C133" s="16">
        <v>2.16</v>
      </c>
      <c r="D133" s="16">
        <v>4.38</v>
      </c>
      <c r="E133" s="17">
        <f t="shared" si="1"/>
        <v>2.2199999999999998</v>
      </c>
    </row>
    <row r="134" spans="1:5" x14ac:dyDescent="0.2">
      <c r="A134" s="6">
        <v>46203</v>
      </c>
      <c r="B134" s="9">
        <v>4008.02</v>
      </c>
      <c r="C134" s="16">
        <v>2.2000000000000002</v>
      </c>
      <c r="D134" s="16">
        <v>4.4400000000000004</v>
      </c>
      <c r="E134" s="17">
        <f t="shared" ref="E134:E197" si="2">IF(AND(ISNUMBER(C134),ISNUMBER(D134)),D134-C134,"")</f>
        <v>2.2400000000000002</v>
      </c>
    </row>
    <row r="135" spans="1:5" x14ac:dyDescent="0.2">
      <c r="A135" s="6">
        <v>46204</v>
      </c>
      <c r="B135" s="9">
        <v>4030.65</v>
      </c>
      <c r="C135" s="16">
        <v>2.25</v>
      </c>
      <c r="D135" s="16">
        <v>4.4800000000000004</v>
      </c>
      <c r="E135" s="17">
        <f t="shared" si="2"/>
        <v>2.2300000000000004</v>
      </c>
    </row>
    <row r="136" spans="1:5" x14ac:dyDescent="0.2">
      <c r="A136" s="6">
        <v>46205</v>
      </c>
      <c r="B136" s="9">
        <v>4122.3500000000004</v>
      </c>
      <c r="C136" s="16">
        <v>2.2599999999999998</v>
      </c>
      <c r="D136" s="16">
        <v>4.49</v>
      </c>
      <c r="E136" s="17">
        <f t="shared" si="2"/>
        <v>2.2300000000000004</v>
      </c>
    </row>
    <row r="137" spans="1:5" x14ac:dyDescent="0.2">
      <c r="A137" s="6">
        <v>46206</v>
      </c>
      <c r="B137" s="9">
        <v>4176.9399999999996</v>
      </c>
      <c r="E137" s="17" t="str">
        <f t="shared" si="2"/>
        <v/>
      </c>
    </row>
    <row r="138" spans="1:5" x14ac:dyDescent="0.2">
      <c r="A138" s="6">
        <v>46209</v>
      </c>
      <c r="B138" s="9">
        <v>4165.2299999999996</v>
      </c>
      <c r="C138" s="16">
        <v>2.2400000000000002</v>
      </c>
      <c r="D138" s="16">
        <v>4.4800000000000004</v>
      </c>
      <c r="E138" s="17">
        <f t="shared" si="2"/>
        <v>2.2400000000000002</v>
      </c>
    </row>
    <row r="139" spans="1:5" x14ac:dyDescent="0.2">
      <c r="A139" s="6">
        <v>46210</v>
      </c>
      <c r="B139" s="9">
        <v>4106.24</v>
      </c>
      <c r="C139" s="16">
        <v>2.2999999999999998</v>
      </c>
      <c r="D139" s="16">
        <v>4.55</v>
      </c>
      <c r="E139" s="17">
        <f t="shared" si="2"/>
        <v>2.25</v>
      </c>
    </row>
    <row r="140" spans="1:5" x14ac:dyDescent="0.2">
      <c r="A140" s="6">
        <v>46211</v>
      </c>
      <c r="B140" s="9">
        <v>4077.43</v>
      </c>
      <c r="C140" s="16">
        <v>2.31</v>
      </c>
      <c r="D140" s="16">
        <v>4.5599999999999996</v>
      </c>
      <c r="E140" s="17">
        <f t="shared" si="2"/>
        <v>2.2499999999999996</v>
      </c>
    </row>
    <row r="141" spans="1:5" x14ac:dyDescent="0.2">
      <c r="A141" s="6">
        <v>46212</v>
      </c>
      <c r="B141" s="9">
        <v>4123.6400000000003</v>
      </c>
      <c r="C141" s="16">
        <v>2.31</v>
      </c>
      <c r="D141" s="16">
        <v>4.54</v>
      </c>
      <c r="E141" s="17">
        <f t="shared" si="2"/>
        <v>2.23</v>
      </c>
    </row>
    <row r="142" spans="1:5" x14ac:dyDescent="0.2">
      <c r="A142" s="6">
        <v>46213</v>
      </c>
      <c r="B142" s="9">
        <v>4119.93</v>
      </c>
      <c r="C142" s="16">
        <v>2.3199999999999998</v>
      </c>
      <c r="D142" s="16">
        <v>4.5599999999999996</v>
      </c>
      <c r="E142" s="17">
        <f t="shared" si="2"/>
        <v>2.2399999999999998</v>
      </c>
    </row>
    <row r="143" spans="1:5" x14ac:dyDescent="0.2">
      <c r="A143" s="6">
        <v>46216</v>
      </c>
      <c r="B143" s="9">
        <v>4002.39</v>
      </c>
      <c r="C143" s="16">
        <v>2.36</v>
      </c>
      <c r="D143" s="16">
        <v>4.62</v>
      </c>
      <c r="E143" s="17">
        <f t="shared" si="2"/>
        <v>2.2600000000000002</v>
      </c>
    </row>
    <row r="144" spans="1:5" x14ac:dyDescent="0.2">
      <c r="A144" s="6">
        <v>46217</v>
      </c>
      <c r="B144" s="9">
        <v>4052.85</v>
      </c>
      <c r="C144" s="16">
        <v>2.33</v>
      </c>
      <c r="D144" s="16">
        <v>4.58</v>
      </c>
      <c r="E144" s="17">
        <f t="shared" si="2"/>
        <v>2.25</v>
      </c>
    </row>
    <row r="145" spans="1:5" x14ac:dyDescent="0.2">
      <c r="A145" s="6">
        <v>46218</v>
      </c>
      <c r="B145" s="9">
        <v>4060.55</v>
      </c>
      <c r="C145" s="16">
        <v>2.3199999999999998</v>
      </c>
      <c r="D145" s="16">
        <v>4.55</v>
      </c>
      <c r="E145" s="17">
        <f t="shared" si="2"/>
        <v>2.23</v>
      </c>
    </row>
    <row r="146" spans="1:5" x14ac:dyDescent="0.2">
      <c r="A146" s="6">
        <v>46219</v>
      </c>
      <c r="B146" s="9">
        <v>3976.5</v>
      </c>
      <c r="C146" s="16">
        <v>2.35</v>
      </c>
      <c r="D146" s="16">
        <v>4.57</v>
      </c>
      <c r="E146" s="17">
        <f t="shared" si="2"/>
        <v>2.2200000000000002</v>
      </c>
    </row>
    <row r="147" spans="1:5" x14ac:dyDescent="0.2">
      <c r="A147" s="6">
        <v>46220</v>
      </c>
      <c r="B147" s="9">
        <v>4017.39</v>
      </c>
      <c r="C147" s="16">
        <v>2.31</v>
      </c>
      <c r="D147" s="16">
        <v>4.55</v>
      </c>
      <c r="E147" s="17">
        <f t="shared" si="2"/>
        <v>2.2399999999999998</v>
      </c>
    </row>
    <row r="148" spans="1:5" x14ac:dyDescent="0.2">
      <c r="A148" s="6">
        <v>46223</v>
      </c>
      <c r="B148" s="9">
        <v>4008.03</v>
      </c>
      <c r="C148" s="16">
        <v>2.35</v>
      </c>
      <c r="D148" s="16">
        <v>4.5999999999999996</v>
      </c>
      <c r="E148" s="17">
        <f t="shared" si="2"/>
        <v>2.2499999999999996</v>
      </c>
    </row>
    <row r="149" spans="1:5" x14ac:dyDescent="0.2">
      <c r="A149" s="6">
        <v>46224</v>
      </c>
      <c r="B149" s="9">
        <v>4076.99</v>
      </c>
      <c r="C149" s="16">
        <v>2.37</v>
      </c>
      <c r="D149" s="16">
        <v>4.63</v>
      </c>
      <c r="E149" s="17">
        <f t="shared" si="2"/>
        <v>2.2599999999999998</v>
      </c>
    </row>
    <row r="150" spans="1:5" x14ac:dyDescent="0.2">
      <c r="A150" s="6">
        <v>46225</v>
      </c>
      <c r="B150" s="9">
        <v>4130.25</v>
      </c>
      <c r="C150" s="16">
        <v>2.39</v>
      </c>
      <c r="D150" s="16">
        <v>4.67</v>
      </c>
      <c r="E150" s="17">
        <f t="shared" si="2"/>
        <v>2.2799999999999998</v>
      </c>
    </row>
    <row r="151" spans="1:5" x14ac:dyDescent="0.2">
      <c r="A151" s="6">
        <v>46226</v>
      </c>
      <c r="B151" s="9">
        <v>4049.48</v>
      </c>
      <c r="C151" s="16">
        <v>2.4300000000000002</v>
      </c>
      <c r="D151" s="16">
        <v>4.71</v>
      </c>
      <c r="E151" s="17">
        <f t="shared" si="2"/>
        <v>2.2799999999999998</v>
      </c>
    </row>
    <row r="152" spans="1:5" x14ac:dyDescent="0.2">
      <c r="A152" s="6">
        <v>46227</v>
      </c>
      <c r="B152" s="9">
        <v>4052.79</v>
      </c>
      <c r="C152" s="16">
        <v>2.4300000000000002</v>
      </c>
      <c r="D152" s="16">
        <v>4.6900000000000004</v>
      </c>
      <c r="E152" s="17">
        <f t="shared" si="2"/>
        <v>2.2600000000000002</v>
      </c>
    </row>
    <row r="153" spans="1:5" x14ac:dyDescent="0.2">
      <c r="A153" s="6">
        <v>46230</v>
      </c>
      <c r="B153" s="9">
        <v>4076.26</v>
      </c>
      <c r="C153" s="16">
        <v>2.44</v>
      </c>
      <c r="D153" s="16">
        <v>4.6500000000000004</v>
      </c>
      <c r="E153" s="17">
        <f t="shared" si="2"/>
        <v>2.2100000000000004</v>
      </c>
    </row>
    <row r="154" spans="1:5" x14ac:dyDescent="0.2">
      <c r="A154" s="6">
        <v>46231</v>
      </c>
      <c r="B154" s="9">
        <v>4029.61</v>
      </c>
      <c r="C154" s="16">
        <v>2.41</v>
      </c>
      <c r="D154" s="16">
        <v>4.6100000000000003</v>
      </c>
      <c r="E154" s="17">
        <f t="shared" si="2"/>
        <v>2.2000000000000002</v>
      </c>
    </row>
    <row r="155" spans="1:5" x14ac:dyDescent="0.2">
      <c r="A155" s="6">
        <v>46232</v>
      </c>
      <c r="B155" s="9">
        <v>4067.56</v>
      </c>
      <c r="C155" s="16">
        <v>2.41</v>
      </c>
      <c r="D155" s="16">
        <v>4.67</v>
      </c>
      <c r="E155" s="17">
        <f t="shared" si="2"/>
        <v>2.2599999999999998</v>
      </c>
    </row>
    <row r="156" spans="1:5" x14ac:dyDescent="0.2">
      <c r="A156" s="6">
        <v>46233</v>
      </c>
      <c r="B156" s="9">
        <v>4103.41</v>
      </c>
      <c r="C156" s="16">
        <v>2.41</v>
      </c>
      <c r="D156" s="16">
        <v>4.68</v>
      </c>
      <c r="E156" s="17">
        <f t="shared" si="2"/>
        <v>2.2699999999999996</v>
      </c>
    </row>
    <row r="157" spans="1:5" x14ac:dyDescent="0.2">
      <c r="A157" s="6">
        <v>46234</v>
      </c>
      <c r="B157" s="9">
        <v>4046.15</v>
      </c>
      <c r="C157" s="16">
        <v>2.4700000000000002</v>
      </c>
      <c r="D157" s="16">
        <v>4.75</v>
      </c>
      <c r="E157" s="17">
        <f t="shared" si="2"/>
        <v>2.2799999999999998</v>
      </c>
    </row>
    <row r="158" spans="1:5" x14ac:dyDescent="0.2">
      <c r="A158" s="6">
        <v>46237</v>
      </c>
      <c r="B158" s="9">
        <v>4054.33</v>
      </c>
      <c r="C158" s="16">
        <v>2.4300000000000002</v>
      </c>
      <c r="D158" s="16">
        <v>4.7</v>
      </c>
      <c r="E158" s="17">
        <f t="shared" si="2"/>
        <v>2.27</v>
      </c>
    </row>
    <row r="159" spans="1:5" x14ac:dyDescent="0.2">
      <c r="A159" s="6">
        <v>46238</v>
      </c>
      <c r="B159" s="9">
        <v>4077.99</v>
      </c>
      <c r="C159" s="16">
        <v>2.4</v>
      </c>
      <c r="D159" s="16">
        <v>4.63</v>
      </c>
      <c r="E159" s="17">
        <f t="shared" si="2"/>
        <v>2.23</v>
      </c>
    </row>
    <row r="160" spans="1:5" x14ac:dyDescent="0.2">
      <c r="A160" s="6">
        <v>46239</v>
      </c>
      <c r="B160" s="9">
        <v>4246.82</v>
      </c>
      <c r="C160" s="16">
        <v>2.41</v>
      </c>
      <c r="D160" s="16">
        <v>4.63</v>
      </c>
      <c r="E160" s="17">
        <f t="shared" si="2"/>
        <v>2.2199999999999998</v>
      </c>
    </row>
    <row r="161" spans="1:5" x14ac:dyDescent="0.2">
      <c r="A161" s="6">
        <v>46240</v>
      </c>
      <c r="B161" s="9">
        <v>4239.42</v>
      </c>
      <c r="C161" s="16">
        <v>2.4300000000000002</v>
      </c>
      <c r="D161" s="16">
        <v>4.6900000000000004</v>
      </c>
      <c r="E161" s="17">
        <f t="shared" si="2"/>
        <v>2.2600000000000002</v>
      </c>
    </row>
    <row r="162" spans="1:5" x14ac:dyDescent="0.2">
      <c r="A162" s="6">
        <v>46241</v>
      </c>
      <c r="B162" s="9">
        <v>4341.5600000000004</v>
      </c>
      <c r="C162" s="16">
        <v>2.4</v>
      </c>
      <c r="D162" s="16">
        <v>4.6500000000000004</v>
      </c>
      <c r="E162" s="17">
        <f t="shared" si="2"/>
        <v>2.2500000000000004</v>
      </c>
    </row>
    <row r="163" spans="1:5" x14ac:dyDescent="0.2">
      <c r="A163" s="6">
        <v>46244</v>
      </c>
      <c r="B163" s="9">
        <v>4390.95</v>
      </c>
      <c r="C163" s="16">
        <v>2.4300000000000002</v>
      </c>
      <c r="D163" s="16">
        <v>4.72</v>
      </c>
      <c r="E163" s="17">
        <f t="shared" si="2"/>
        <v>2.2899999999999996</v>
      </c>
    </row>
    <row r="164" spans="1:5" x14ac:dyDescent="0.2">
      <c r="A164" s="6">
        <v>46245</v>
      </c>
      <c r="B164" s="9">
        <v>4370.1099999999997</v>
      </c>
      <c r="C164" s="16">
        <v>2.4300000000000002</v>
      </c>
      <c r="D164" s="16">
        <v>4.7</v>
      </c>
      <c r="E164" s="17">
        <f t="shared" si="2"/>
        <v>2.27</v>
      </c>
    </row>
    <row r="165" spans="1:5" x14ac:dyDescent="0.2">
      <c r="A165" s="6">
        <v>46246</v>
      </c>
      <c r="B165" s="9">
        <v>4408.29</v>
      </c>
      <c r="C165" s="16">
        <v>2.42</v>
      </c>
      <c r="D165" s="16">
        <v>4.68</v>
      </c>
      <c r="E165" s="17">
        <f t="shared" si="2"/>
        <v>2.2599999999999998</v>
      </c>
    </row>
    <row r="166" spans="1:5" x14ac:dyDescent="0.2">
      <c r="A166" s="6">
        <v>46247</v>
      </c>
      <c r="B166" s="9">
        <v>4350.3900000000003</v>
      </c>
      <c r="C166" s="16">
        <v>2.39</v>
      </c>
      <c r="D166" s="16">
        <v>4.63</v>
      </c>
      <c r="E166" s="17">
        <f t="shared" si="2"/>
        <v>2.2399999999999998</v>
      </c>
    </row>
    <row r="167" spans="1:5" x14ac:dyDescent="0.2">
      <c r="A167" s="6">
        <v>46248</v>
      </c>
      <c r="B167" s="9">
        <v>4376.3999999999996</v>
      </c>
      <c r="C167" s="16">
        <v>2.41</v>
      </c>
      <c r="D167" s="16">
        <v>4.68</v>
      </c>
      <c r="E167" s="17">
        <f t="shared" si="2"/>
        <v>2.2699999999999996</v>
      </c>
    </row>
    <row r="168" spans="1:5" x14ac:dyDescent="0.2">
      <c r="A168" s="6">
        <v>46251</v>
      </c>
      <c r="B168" s="9">
        <v>4415.99</v>
      </c>
      <c r="C168" s="16">
        <v>2.44</v>
      </c>
      <c r="D168" s="16">
        <v>4.72</v>
      </c>
      <c r="E168" s="17">
        <f t="shared" si="2"/>
        <v>2.2799999999999998</v>
      </c>
    </row>
    <row r="169" spans="1:5" x14ac:dyDescent="0.2">
      <c r="A169" s="6">
        <v>46252</v>
      </c>
      <c r="B169" s="9">
        <v>4334.5</v>
      </c>
      <c r="C169" s="16">
        <v>2.41</v>
      </c>
      <c r="D169" s="16">
        <v>4.71</v>
      </c>
      <c r="E169" s="17">
        <f t="shared" si="2"/>
        <v>2.2999999999999998</v>
      </c>
    </row>
    <row r="170" spans="1:5" x14ac:dyDescent="0.2">
      <c r="A170" s="6">
        <v>46253</v>
      </c>
      <c r="B170" s="9">
        <v>4515.58</v>
      </c>
      <c r="C170" s="16">
        <v>2.35</v>
      </c>
      <c r="D170" s="16">
        <v>4.6500000000000004</v>
      </c>
      <c r="E170" s="17">
        <f t="shared" si="2"/>
        <v>2.3000000000000003</v>
      </c>
    </row>
    <row r="171" spans="1:5" x14ac:dyDescent="0.2">
      <c r="A171" s="6">
        <v>46254</v>
      </c>
      <c r="B171" s="9">
        <v>4516.58</v>
      </c>
      <c r="C171" s="16">
        <v>2.35</v>
      </c>
      <c r="D171" s="16">
        <v>4.6900000000000004</v>
      </c>
      <c r="E171" s="17">
        <f t="shared" si="2"/>
        <v>2.3400000000000003</v>
      </c>
    </row>
    <row r="172" spans="1:5" x14ac:dyDescent="0.2">
      <c r="A172" s="6">
        <v>46255</v>
      </c>
      <c r="B172" s="9">
        <v>4603.07</v>
      </c>
      <c r="C172" s="16">
        <v>2.4</v>
      </c>
      <c r="D172" s="16">
        <v>4.74</v>
      </c>
      <c r="E172" s="17">
        <f t="shared" si="2"/>
        <v>2.3400000000000003</v>
      </c>
    </row>
    <row r="173" spans="1:5" x14ac:dyDescent="0.2">
      <c r="A173" s="6">
        <v>46258</v>
      </c>
      <c r="B173" s="9">
        <v>4652.22</v>
      </c>
      <c r="C173" s="16">
        <v>2.38</v>
      </c>
      <c r="D173" s="16">
        <v>4.7</v>
      </c>
      <c r="E173" s="17">
        <f t="shared" si="2"/>
        <v>2.3200000000000003</v>
      </c>
    </row>
    <row r="174" spans="1:5" x14ac:dyDescent="0.2">
      <c r="A174" s="6">
        <v>46259</v>
      </c>
      <c r="B174" s="9">
        <v>4657.17</v>
      </c>
      <c r="C174" s="16">
        <v>2.3199999999999998</v>
      </c>
      <c r="D174" s="16">
        <v>4.6399999999999997</v>
      </c>
      <c r="E174" s="17">
        <f t="shared" si="2"/>
        <v>2.3199999999999998</v>
      </c>
    </row>
    <row r="175" spans="1:5" x14ac:dyDescent="0.2">
      <c r="A175" s="6">
        <v>46260</v>
      </c>
      <c r="B175" s="9">
        <v>4591.07</v>
      </c>
      <c r="C175" s="16">
        <v>2.34</v>
      </c>
      <c r="D175" s="16">
        <v>4.66</v>
      </c>
      <c r="E175" s="17">
        <f t="shared" si="2"/>
        <v>2.3200000000000003</v>
      </c>
    </row>
    <row r="176" spans="1:5" x14ac:dyDescent="0.2">
      <c r="A176" s="6">
        <v>46261</v>
      </c>
      <c r="B176" s="9">
        <v>4599.1499999999996</v>
      </c>
      <c r="C176" s="16">
        <v>2.34</v>
      </c>
      <c r="D176" s="16">
        <v>4.67</v>
      </c>
      <c r="E176" s="17">
        <f t="shared" si="2"/>
        <v>2.33</v>
      </c>
    </row>
    <row r="177" spans="1:5" x14ac:dyDescent="0.2">
      <c r="A177" s="6">
        <v>46262</v>
      </c>
      <c r="B177" s="9">
        <v>4455.1099999999997</v>
      </c>
      <c r="C177" s="16">
        <v>2.42</v>
      </c>
      <c r="D177" s="16">
        <v>4.7300000000000004</v>
      </c>
      <c r="E177" s="17">
        <f t="shared" si="2"/>
        <v>2.3100000000000005</v>
      </c>
    </row>
    <row r="178" spans="1:5" x14ac:dyDescent="0.2">
      <c r="A178" s="6">
        <v>46265</v>
      </c>
      <c r="B178" s="9">
        <v>4437.38</v>
      </c>
      <c r="C178" s="16">
        <v>2.44</v>
      </c>
      <c r="D178" s="16">
        <v>4.75</v>
      </c>
      <c r="E178" s="17">
        <f t="shared" si="2"/>
        <v>2.31</v>
      </c>
    </row>
    <row r="179" spans="1:5" x14ac:dyDescent="0.2">
      <c r="A179" s="6">
        <v>46266</v>
      </c>
      <c r="B179" s="9">
        <v>4328.82</v>
      </c>
      <c r="C179" s="16">
        <v>2.44</v>
      </c>
      <c r="D179" s="16">
        <v>4.79</v>
      </c>
      <c r="E179" s="17">
        <f t="shared" si="2"/>
        <v>2.35</v>
      </c>
    </row>
    <row r="180" spans="1:5" x14ac:dyDescent="0.2">
      <c r="A180" s="6">
        <v>46267</v>
      </c>
      <c r="B180" s="9">
        <v>4381.68</v>
      </c>
      <c r="C180" s="16">
        <v>2.4500000000000002</v>
      </c>
      <c r="D180" s="16">
        <v>4.79</v>
      </c>
      <c r="E180" s="17">
        <f t="shared" si="2"/>
        <v>2.34</v>
      </c>
    </row>
    <row r="181" spans="1:5" x14ac:dyDescent="0.2">
      <c r="A181" s="6">
        <v>46268</v>
      </c>
      <c r="B181" s="9">
        <v>4472.92</v>
      </c>
      <c r="C181" s="16">
        <v>2.42</v>
      </c>
      <c r="D181" s="16">
        <v>4.7699999999999996</v>
      </c>
      <c r="E181" s="17">
        <f t="shared" si="2"/>
        <v>2.3499999999999996</v>
      </c>
    </row>
    <row r="182" spans="1:5" x14ac:dyDescent="0.2">
      <c r="A182" s="6">
        <v>46269</v>
      </c>
      <c r="B182" s="9">
        <v>4429.9799999999996</v>
      </c>
      <c r="C182" s="16">
        <v>2.4300000000000002</v>
      </c>
      <c r="D182" s="16">
        <v>4.78</v>
      </c>
      <c r="E182" s="17">
        <f t="shared" si="2"/>
        <v>2.35</v>
      </c>
    </row>
    <row r="183" spans="1:5" x14ac:dyDescent="0.2">
      <c r="A183" s="6">
        <v>46272</v>
      </c>
      <c r="B183" s="9">
        <v>4404.3</v>
      </c>
      <c r="E183" s="17" t="str">
        <f t="shared" si="2"/>
        <v/>
      </c>
    </row>
    <row r="184" spans="1:5" x14ac:dyDescent="0.2">
      <c r="A184" s="6">
        <v>46273</v>
      </c>
      <c r="B184" s="9">
        <v>4355.99</v>
      </c>
      <c r="C184" s="16">
        <v>2.4300000000000002</v>
      </c>
      <c r="D184" s="16">
        <v>4.8</v>
      </c>
      <c r="E184" s="17">
        <f t="shared" si="2"/>
        <v>2.3699999999999997</v>
      </c>
    </row>
    <row r="185" spans="1:5" x14ac:dyDescent="0.2">
      <c r="A185" s="6">
        <v>46274</v>
      </c>
      <c r="B185" s="9">
        <v>4398.83</v>
      </c>
      <c r="C185" s="16">
        <v>2.46</v>
      </c>
      <c r="D185" s="16">
        <v>4.83</v>
      </c>
      <c r="E185" s="17">
        <f t="shared" si="2"/>
        <v>2.37</v>
      </c>
    </row>
    <row r="186" spans="1:5" x14ac:dyDescent="0.2">
      <c r="A186" s="6">
        <v>46275</v>
      </c>
      <c r="B186" s="9">
        <v>4318.1899999999996</v>
      </c>
      <c r="C186" s="16">
        <v>2.5499999999999998</v>
      </c>
      <c r="D186" s="16">
        <v>4.95</v>
      </c>
      <c r="E186" s="17">
        <f t="shared" si="2"/>
        <v>2.4000000000000004</v>
      </c>
    </row>
    <row r="187" spans="1:5" x14ac:dyDescent="0.2">
      <c r="A187" s="6">
        <v>46276</v>
      </c>
      <c r="B187" s="9">
        <v>4349.08</v>
      </c>
      <c r="C187" s="16">
        <v>2.6</v>
      </c>
      <c r="D187" s="16">
        <v>4.96</v>
      </c>
      <c r="E187" s="17">
        <f t="shared" si="2"/>
        <v>2.36</v>
      </c>
    </row>
    <row r="188" spans="1:5" x14ac:dyDescent="0.2">
      <c r="A188" s="6">
        <v>46279</v>
      </c>
      <c r="B188" s="9">
        <v>4299.6400000000003</v>
      </c>
      <c r="C188" s="16">
        <v>2.6</v>
      </c>
      <c r="D188" s="16">
        <v>4.97</v>
      </c>
      <c r="E188" s="17">
        <f t="shared" si="2"/>
        <v>2.3699999999999997</v>
      </c>
    </row>
    <row r="189" spans="1:5" x14ac:dyDescent="0.2">
      <c r="A189" s="6">
        <v>46280</v>
      </c>
      <c r="B189" s="9">
        <v>4292.1499999999996</v>
      </c>
      <c r="C189" s="16">
        <v>2.62</v>
      </c>
      <c r="D189" s="16">
        <v>5</v>
      </c>
      <c r="E189" s="17">
        <f t="shared" si="2"/>
        <v>2.38</v>
      </c>
    </row>
    <row r="190" spans="1:5" x14ac:dyDescent="0.2">
      <c r="A190" s="6">
        <v>46281</v>
      </c>
      <c r="B190" s="9">
        <v>4263.6499999999996</v>
      </c>
      <c r="C190" s="16">
        <v>2.68</v>
      </c>
      <c r="D190" s="16">
        <v>5.01</v>
      </c>
      <c r="E190" s="17">
        <f t="shared" si="2"/>
        <v>2.3299999999999996</v>
      </c>
    </row>
    <row r="191" spans="1:5" x14ac:dyDescent="0.2">
      <c r="A191" s="6">
        <v>46282</v>
      </c>
      <c r="B191" s="9">
        <v>4341.7</v>
      </c>
      <c r="C191" s="16">
        <v>2.61</v>
      </c>
      <c r="D191" s="16">
        <v>4.9400000000000004</v>
      </c>
      <c r="E191" s="17">
        <f t="shared" si="2"/>
        <v>2.3300000000000005</v>
      </c>
    </row>
    <row r="192" spans="1:5" x14ac:dyDescent="0.2">
      <c r="A192" s="6">
        <v>46283</v>
      </c>
      <c r="B192" s="9">
        <v>4378.63</v>
      </c>
      <c r="C192" s="16">
        <v>2.68</v>
      </c>
      <c r="D192" s="16">
        <v>5.01</v>
      </c>
      <c r="E192" s="17">
        <f t="shared" si="2"/>
        <v>2.3299999999999996</v>
      </c>
    </row>
    <row r="193" spans="1:5" x14ac:dyDescent="0.2">
      <c r="A193" s="6">
        <v>46286</v>
      </c>
      <c r="B193" s="9">
        <v>4343.43</v>
      </c>
      <c r="C193" s="16">
        <v>2.62</v>
      </c>
      <c r="D193" s="16">
        <v>4.96</v>
      </c>
      <c r="E193" s="17">
        <f t="shared" si="2"/>
        <v>2.34</v>
      </c>
    </row>
    <row r="194" spans="1:5" x14ac:dyDescent="0.2">
      <c r="A194" s="6">
        <v>46287</v>
      </c>
      <c r="B194" s="9">
        <v>4360.72</v>
      </c>
      <c r="C194" s="16">
        <v>2.63</v>
      </c>
      <c r="D194" s="16">
        <v>4.96</v>
      </c>
      <c r="E194" s="17">
        <f t="shared" si="2"/>
        <v>2.33</v>
      </c>
    </row>
    <row r="195" spans="1:5" x14ac:dyDescent="0.2">
      <c r="A195" s="6">
        <v>46288</v>
      </c>
      <c r="B195" s="9">
        <v>4287.6499999999996</v>
      </c>
      <c r="C195" s="16">
        <v>2.76</v>
      </c>
      <c r="D195" s="16">
        <v>5.1100000000000003</v>
      </c>
      <c r="E195" s="17">
        <f t="shared" si="2"/>
        <v>2.3500000000000005</v>
      </c>
    </row>
    <row r="196" spans="1:5" x14ac:dyDescent="0.2">
      <c r="A196" s="6">
        <v>46289</v>
      </c>
      <c r="B196" s="9">
        <v>4275.03</v>
      </c>
      <c r="C196" s="16">
        <v>2.85</v>
      </c>
      <c r="D196" s="16">
        <v>5.18</v>
      </c>
      <c r="E196" s="17">
        <f t="shared" si="2"/>
        <v>2.3299999999999996</v>
      </c>
    </row>
    <row r="197" spans="1:5" x14ac:dyDescent="0.2">
      <c r="A197" s="6">
        <v>46290</v>
      </c>
      <c r="B197" s="9">
        <v>4284.8100000000004</v>
      </c>
      <c r="C197" s="16">
        <v>2.83</v>
      </c>
      <c r="D197" s="16">
        <v>5.17</v>
      </c>
      <c r="E197" s="17">
        <f t="shared" si="2"/>
        <v>2.34</v>
      </c>
    </row>
    <row r="198" spans="1:5" x14ac:dyDescent="0.2">
      <c r="A198" s="6">
        <v>46293</v>
      </c>
      <c r="B198" s="9">
        <v>4115.71</v>
      </c>
      <c r="C198" s="16">
        <v>2.9</v>
      </c>
      <c r="D198" s="16">
        <v>5.24</v>
      </c>
      <c r="E198" s="17">
        <f t="shared" ref="E198:E261" si="3">IF(AND(ISNUMBER(C198),ISNUMBER(D198)),D198-C198,"")</f>
        <v>2.3400000000000003</v>
      </c>
    </row>
    <row r="199" spans="1:5" x14ac:dyDescent="0.2">
      <c r="A199" s="6">
        <v>46294</v>
      </c>
      <c r="B199" s="9">
        <v>4182.3100000000004</v>
      </c>
      <c r="C199" s="16">
        <v>2.91</v>
      </c>
      <c r="D199" s="16">
        <v>5.26</v>
      </c>
      <c r="E199" s="17">
        <f t="shared" si="3"/>
        <v>2.3499999999999996</v>
      </c>
    </row>
    <row r="200" spans="1:5" x14ac:dyDescent="0.2">
      <c r="A200" s="6">
        <v>46295</v>
      </c>
      <c r="B200" s="9">
        <v>4157.41</v>
      </c>
      <c r="C200" s="16">
        <v>2.93</v>
      </c>
      <c r="D200" s="16">
        <v>5.29</v>
      </c>
      <c r="E200" s="17">
        <f t="shared" si="3"/>
        <v>2.36</v>
      </c>
    </row>
    <row r="201" spans="1:5" x14ac:dyDescent="0.2">
      <c r="A201" s="6">
        <v>46296</v>
      </c>
      <c r="B201" s="9">
        <v>4177.66</v>
      </c>
      <c r="C201" s="16">
        <v>2.88</v>
      </c>
      <c r="D201" s="16">
        <v>5.24</v>
      </c>
      <c r="E201" s="17">
        <f t="shared" si="3"/>
        <v>2.3600000000000003</v>
      </c>
    </row>
    <row r="202" spans="1:5" x14ac:dyDescent="0.2">
      <c r="A202" s="6">
        <v>46297</v>
      </c>
      <c r="B202" s="9">
        <v>4141.1899999999996</v>
      </c>
      <c r="C202" s="16">
        <v>2.92</v>
      </c>
      <c r="D202" s="16">
        <v>5.28</v>
      </c>
      <c r="E202" s="17">
        <f t="shared" si="3"/>
        <v>2.3600000000000003</v>
      </c>
    </row>
    <row r="203" spans="1:5" x14ac:dyDescent="0.2">
      <c r="A203" s="6">
        <v>46300</v>
      </c>
      <c r="B203" s="9">
        <v>4139.5</v>
      </c>
      <c r="C203" s="16">
        <v>2.95</v>
      </c>
      <c r="D203" s="16">
        <v>5.31</v>
      </c>
      <c r="E203" s="17">
        <f t="shared" si="3"/>
        <v>2.3599999999999994</v>
      </c>
    </row>
    <row r="204" spans="1:5" x14ac:dyDescent="0.2">
      <c r="A204" s="6">
        <v>46301</v>
      </c>
      <c r="B204" s="9">
        <v>4164.18</v>
      </c>
      <c r="C204" s="16">
        <v>2.91</v>
      </c>
      <c r="D204" s="16">
        <v>5.27</v>
      </c>
      <c r="E204" s="17">
        <f t="shared" si="3"/>
        <v>2.3599999999999994</v>
      </c>
    </row>
    <row r="205" spans="1:5" x14ac:dyDescent="0.2">
      <c r="A205" s="6">
        <v>46302</v>
      </c>
      <c r="B205" s="9">
        <v>4111.2299999999996</v>
      </c>
      <c r="C205" s="16">
        <v>2.92</v>
      </c>
      <c r="D205" s="16">
        <v>5.28</v>
      </c>
      <c r="E205" s="17">
        <f t="shared" si="3"/>
        <v>2.3600000000000003</v>
      </c>
    </row>
    <row r="206" spans="1:5" x14ac:dyDescent="0.2">
      <c r="A206" s="6">
        <v>46303</v>
      </c>
      <c r="B206" s="9">
        <v>4132.5</v>
      </c>
      <c r="C206" s="16">
        <v>2.87</v>
      </c>
      <c r="D206" s="16">
        <v>5.22</v>
      </c>
      <c r="E206" s="17">
        <f t="shared" si="3"/>
        <v>2.3499999999999996</v>
      </c>
    </row>
    <row r="207" spans="1:5" x14ac:dyDescent="0.2">
      <c r="A207" s="6">
        <v>46304</v>
      </c>
      <c r="B207" s="9">
        <v>4194.24</v>
      </c>
      <c r="C207" s="16">
        <v>2.91</v>
      </c>
      <c r="D207" s="16">
        <v>5.24</v>
      </c>
      <c r="E207" s="17">
        <f t="shared" si="3"/>
        <v>2.33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workbookViewId="0"/>
  </sheetViews>
  <sheetFormatPr baseColWidth="10" defaultColWidth="8.83203125" defaultRowHeight="15" x14ac:dyDescent="0.2"/>
  <cols>
    <col min="1" max="1" width="18" customWidth="1"/>
    <col min="2" max="2" width="20" customWidth="1"/>
    <col min="3" max="5" width="12" customWidth="1"/>
    <col min="6" max="6" width="14" customWidth="1"/>
    <col min="7" max="7" width="10" customWidth="1"/>
    <col min="8" max="8" width="3" customWidth="1"/>
    <col min="9" max="9" width="22" customWidth="1"/>
    <col min="10" max="10" width="16" customWidth="1"/>
    <col min="11" max="11" width="14" customWidth="1"/>
  </cols>
  <sheetData>
    <row r="1" spans="1:11" ht="16" x14ac:dyDescent="0.2">
      <c r="A1" s="1" t="s">
        <v>80</v>
      </c>
    </row>
    <row r="2" spans="1:11" x14ac:dyDescent="0.2">
      <c r="A2" s="4" t="s">
        <v>81</v>
      </c>
    </row>
    <row r="4" spans="1:11" x14ac:dyDescent="0.2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53</v>
      </c>
      <c r="G4" s="5" t="s">
        <v>87</v>
      </c>
      <c r="I4" s="5" t="s">
        <v>88</v>
      </c>
      <c r="J4" s="5" t="s">
        <v>89</v>
      </c>
      <c r="K4" s="5" t="s">
        <v>90</v>
      </c>
    </row>
    <row r="5" spans="1:11" x14ac:dyDescent="0.2">
      <c r="A5" s="2" t="s">
        <v>91</v>
      </c>
      <c r="B5" s="2" t="s">
        <v>92</v>
      </c>
      <c r="C5" s="9">
        <v>353.27</v>
      </c>
      <c r="D5" s="9">
        <v>267.62</v>
      </c>
      <c r="E5" s="9">
        <v>298.07</v>
      </c>
      <c r="F5" s="21">
        <f t="shared" ref="F5:F35" si="0">E5/D5-1</f>
        <v>0.11378073387639187</v>
      </c>
      <c r="G5" s="11">
        <f t="shared" ref="G5:G35" si="1">E5/C5-1</f>
        <v>-0.1562544229626065</v>
      </c>
      <c r="I5" s="2" t="s">
        <v>91</v>
      </c>
      <c r="J5" s="13">
        <f t="shared" ref="J5:J11" si="2">AVERAGEIF($A$5:$A$30,I5,$F$5:$F$30)</f>
        <v>0.11414069477310518</v>
      </c>
      <c r="K5" s="11">
        <f t="shared" ref="K5:K11" si="3">AVERAGEIF($A$5:$A$30,I5,$G$5:$G$30)</f>
        <v>-7.7662325843170288E-2</v>
      </c>
    </row>
    <row r="6" spans="1:11" x14ac:dyDescent="0.2">
      <c r="A6" s="2" t="s">
        <v>91</v>
      </c>
      <c r="B6" s="2" t="s">
        <v>93</v>
      </c>
      <c r="C6" s="9">
        <v>161.33000000000001</v>
      </c>
      <c r="D6" s="9">
        <v>144.88999999999999</v>
      </c>
      <c r="E6" s="9">
        <v>161.47999999999999</v>
      </c>
      <c r="F6" s="21">
        <f t="shared" si="0"/>
        <v>0.11450065566981849</v>
      </c>
      <c r="G6" s="11">
        <f t="shared" si="1"/>
        <v>9.2977127626592271E-4</v>
      </c>
      <c r="I6" s="2" t="s">
        <v>94</v>
      </c>
      <c r="J6" s="13">
        <f t="shared" si="2"/>
        <v>6.5317650265377503E-2</v>
      </c>
      <c r="K6" s="11">
        <f t="shared" si="3"/>
        <v>0.12106610647411253</v>
      </c>
    </row>
    <row r="7" spans="1:11" x14ac:dyDescent="0.2">
      <c r="A7" s="2" t="s">
        <v>94</v>
      </c>
      <c r="B7" s="2" t="s">
        <v>95</v>
      </c>
      <c r="C7" s="9">
        <v>105.69</v>
      </c>
      <c r="D7" s="9">
        <v>109.72</v>
      </c>
      <c r="E7" s="9">
        <v>112.67</v>
      </c>
      <c r="F7" s="21">
        <f t="shared" si="0"/>
        <v>2.6886620488516311E-2</v>
      </c>
      <c r="G7" s="11">
        <f t="shared" si="1"/>
        <v>6.6042198883527359E-2</v>
      </c>
      <c r="I7" s="2" t="s">
        <v>96</v>
      </c>
      <c r="J7" s="13">
        <f t="shared" si="2"/>
        <v>7.7588171512600109E-3</v>
      </c>
      <c r="K7" s="11">
        <f t="shared" si="3"/>
        <v>3.6210920438768793E-2</v>
      </c>
    </row>
    <row r="8" spans="1:11" x14ac:dyDescent="0.2">
      <c r="A8" s="2" t="s">
        <v>94</v>
      </c>
      <c r="B8" s="2" t="s">
        <v>97</v>
      </c>
      <c r="C8" s="9">
        <v>177.75</v>
      </c>
      <c r="D8" s="9">
        <v>189.4</v>
      </c>
      <c r="E8" s="9">
        <v>209.05</v>
      </c>
      <c r="F8" s="21">
        <f t="shared" si="0"/>
        <v>0.10374868004223869</v>
      </c>
      <c r="G8" s="11">
        <f t="shared" si="1"/>
        <v>0.17609001406469771</v>
      </c>
      <c r="I8" s="2" t="s">
        <v>98</v>
      </c>
      <c r="J8" s="13">
        <f t="shared" si="2"/>
        <v>4.1187254313249801E-2</v>
      </c>
      <c r="K8" s="11">
        <f t="shared" si="3"/>
        <v>2.1830597632893483</v>
      </c>
    </row>
    <row r="9" spans="1:11" x14ac:dyDescent="0.2">
      <c r="A9" s="2" t="s">
        <v>96</v>
      </c>
      <c r="B9" s="2" t="s">
        <v>99</v>
      </c>
      <c r="C9" s="9">
        <v>483.62</v>
      </c>
      <c r="D9" s="9">
        <v>525.17999999999995</v>
      </c>
      <c r="E9" s="9">
        <v>535.07000000000005</v>
      </c>
      <c r="F9" s="21">
        <f t="shared" si="0"/>
        <v>1.8831638676263474E-2</v>
      </c>
      <c r="G9" s="11">
        <f t="shared" si="1"/>
        <v>0.10638517844588735</v>
      </c>
      <c r="I9" s="2" t="s">
        <v>100</v>
      </c>
      <c r="J9" s="13">
        <f t="shared" si="2"/>
        <v>-6.0033422590449838E-2</v>
      </c>
      <c r="K9" s="11">
        <f t="shared" si="3"/>
        <v>0.9587999530527288</v>
      </c>
    </row>
    <row r="10" spans="1:11" x14ac:dyDescent="0.2">
      <c r="A10" s="2" t="s">
        <v>96</v>
      </c>
      <c r="B10" s="2" t="s">
        <v>101</v>
      </c>
      <c r="C10" s="9">
        <v>230.82</v>
      </c>
      <c r="D10" s="9">
        <v>251.4</v>
      </c>
      <c r="E10" s="9">
        <v>262.43</v>
      </c>
      <c r="F10" s="21">
        <f t="shared" si="0"/>
        <v>4.3874303898170153E-2</v>
      </c>
      <c r="G10" s="11">
        <f t="shared" si="1"/>
        <v>0.13694653842821247</v>
      </c>
      <c r="I10" s="2" t="s">
        <v>102</v>
      </c>
      <c r="J10" s="13">
        <f t="shared" si="2"/>
        <v>-5.9469227479255184E-2</v>
      </c>
      <c r="K10" s="11">
        <f t="shared" si="3"/>
        <v>0.48440763341131843</v>
      </c>
    </row>
    <row r="11" spans="1:11" x14ac:dyDescent="0.2">
      <c r="A11" s="2" t="s">
        <v>96</v>
      </c>
      <c r="B11" s="2" t="s">
        <v>103</v>
      </c>
      <c r="C11" s="9">
        <v>313</v>
      </c>
      <c r="D11" s="9">
        <v>346.47</v>
      </c>
      <c r="E11" s="9">
        <v>351.66</v>
      </c>
      <c r="F11" s="21">
        <f t="shared" si="0"/>
        <v>1.497965191791506E-2</v>
      </c>
      <c r="G11" s="11">
        <f t="shared" si="1"/>
        <v>0.12351437699680523</v>
      </c>
      <c r="I11" s="2" t="s">
        <v>104</v>
      </c>
      <c r="J11" s="13">
        <f t="shared" si="2"/>
        <v>-8.0607496327823186E-2</v>
      </c>
      <c r="K11" s="11">
        <f t="shared" si="3"/>
        <v>1.9326240979770044</v>
      </c>
    </row>
    <row r="12" spans="1:11" x14ac:dyDescent="0.2">
      <c r="A12" s="2" t="s">
        <v>96</v>
      </c>
      <c r="B12" s="2" t="s">
        <v>105</v>
      </c>
      <c r="C12" s="9">
        <v>660.09</v>
      </c>
      <c r="D12" s="9">
        <v>741.9</v>
      </c>
      <c r="E12" s="9">
        <v>718.67</v>
      </c>
      <c r="F12" s="21">
        <f t="shared" si="0"/>
        <v>-3.1311497506402497E-2</v>
      </c>
      <c r="G12" s="11">
        <f t="shared" si="1"/>
        <v>8.8745474102016386E-2</v>
      </c>
    </row>
    <row r="13" spans="1:11" x14ac:dyDescent="0.2">
      <c r="A13" s="2" t="s">
        <v>96</v>
      </c>
      <c r="B13" s="2" t="s">
        <v>106</v>
      </c>
      <c r="C13" s="9">
        <v>194.91</v>
      </c>
      <c r="D13" s="9">
        <v>142.47999999999999</v>
      </c>
      <c r="E13" s="9">
        <v>141.4</v>
      </c>
      <c r="F13" s="21">
        <f t="shared" si="0"/>
        <v>-7.5800112296461331E-3</v>
      </c>
      <c r="G13" s="11">
        <f t="shared" si="1"/>
        <v>-0.27453696577907749</v>
      </c>
    </row>
    <row r="14" spans="1:11" x14ac:dyDescent="0.2">
      <c r="A14" s="2" t="s">
        <v>98</v>
      </c>
      <c r="B14" s="2" t="s">
        <v>107</v>
      </c>
      <c r="C14" s="9">
        <v>131.03</v>
      </c>
      <c r="D14" s="9">
        <v>206.9</v>
      </c>
      <c r="E14" s="9">
        <v>216.74</v>
      </c>
      <c r="F14" s="21">
        <f t="shared" si="0"/>
        <v>4.7559207346544285E-2</v>
      </c>
      <c r="G14" s="11">
        <f t="shared" si="1"/>
        <v>0.65412500953980013</v>
      </c>
    </row>
    <row r="15" spans="1:11" x14ac:dyDescent="0.2">
      <c r="A15" s="2" t="s">
        <v>98</v>
      </c>
      <c r="B15" s="2" t="s">
        <v>108</v>
      </c>
      <c r="C15" s="9">
        <v>125.88</v>
      </c>
      <c r="D15" s="9">
        <v>552.29</v>
      </c>
      <c r="E15" s="9">
        <v>586.05999999999995</v>
      </c>
      <c r="F15" s="21">
        <f t="shared" si="0"/>
        <v>6.1145412736062443E-2</v>
      </c>
      <c r="G15" s="11">
        <f t="shared" si="1"/>
        <v>3.655703844931681</v>
      </c>
    </row>
    <row r="16" spans="1:11" x14ac:dyDescent="0.2">
      <c r="A16" s="2" t="s">
        <v>98</v>
      </c>
      <c r="B16" s="2" t="s">
        <v>109</v>
      </c>
      <c r="C16" s="9">
        <v>84.98</v>
      </c>
      <c r="D16" s="9">
        <v>271.25</v>
      </c>
      <c r="E16" s="9">
        <v>275.27999999999997</v>
      </c>
      <c r="F16" s="21">
        <f t="shared" si="0"/>
        <v>1.485714285714268E-2</v>
      </c>
      <c r="G16" s="11">
        <f t="shared" si="1"/>
        <v>2.2393504353965636</v>
      </c>
    </row>
    <row r="17" spans="1:7" x14ac:dyDescent="0.2">
      <c r="A17" s="2" t="s">
        <v>100</v>
      </c>
      <c r="B17" s="2" t="s">
        <v>110</v>
      </c>
      <c r="C17" s="9">
        <v>186.5</v>
      </c>
      <c r="D17" s="9">
        <v>238.9</v>
      </c>
      <c r="E17" s="9">
        <v>229.28</v>
      </c>
      <c r="F17" s="21">
        <f t="shared" si="0"/>
        <v>-4.026789451653412E-2</v>
      </c>
      <c r="G17" s="11">
        <f t="shared" si="1"/>
        <v>0.22938337801608588</v>
      </c>
    </row>
    <row r="18" spans="1:7" x14ac:dyDescent="0.2">
      <c r="A18" s="2" t="s">
        <v>100</v>
      </c>
      <c r="B18" s="2" t="s">
        <v>111</v>
      </c>
      <c r="C18" s="9">
        <v>214.16</v>
      </c>
      <c r="D18" s="9">
        <v>631.75</v>
      </c>
      <c r="E18" s="9">
        <v>608.1</v>
      </c>
      <c r="F18" s="21">
        <f t="shared" si="0"/>
        <v>-3.7435694499406424E-2</v>
      </c>
      <c r="G18" s="11">
        <f t="shared" si="1"/>
        <v>1.8394658199477028</v>
      </c>
    </row>
    <row r="19" spans="1:7" x14ac:dyDescent="0.2">
      <c r="A19" s="2" t="s">
        <v>100</v>
      </c>
      <c r="B19" s="2" t="s">
        <v>112</v>
      </c>
      <c r="C19" s="9">
        <v>346.1</v>
      </c>
      <c r="D19" s="9">
        <v>362.51</v>
      </c>
      <c r="E19" s="9">
        <v>361.54</v>
      </c>
      <c r="F19" s="21">
        <f t="shared" si="0"/>
        <v>-2.675788254117073E-3</v>
      </c>
      <c r="G19" s="11">
        <f t="shared" si="1"/>
        <v>4.4611383993065523E-2</v>
      </c>
    </row>
    <row r="20" spans="1:7" x14ac:dyDescent="0.2">
      <c r="A20" s="2" t="s">
        <v>100</v>
      </c>
      <c r="B20" s="2" t="s">
        <v>113</v>
      </c>
      <c r="C20" s="9">
        <v>111.79</v>
      </c>
      <c r="D20" s="9">
        <v>302.89999999999998</v>
      </c>
      <c r="E20" s="9">
        <v>266.27999999999997</v>
      </c>
      <c r="F20" s="21">
        <f t="shared" si="0"/>
        <v>-0.12089798613403768</v>
      </c>
      <c r="G20" s="11">
        <f t="shared" si="1"/>
        <v>1.3819661865998745</v>
      </c>
    </row>
    <row r="21" spans="1:7" x14ac:dyDescent="0.2">
      <c r="A21" s="2" t="s">
        <v>100</v>
      </c>
      <c r="B21" s="2" t="s">
        <v>114</v>
      </c>
      <c r="C21" s="9">
        <v>45.55</v>
      </c>
      <c r="D21" s="9">
        <v>116.19</v>
      </c>
      <c r="E21" s="9">
        <v>104.7</v>
      </c>
      <c r="F21" s="21">
        <f t="shared" si="0"/>
        <v>-9.8889749548153882E-2</v>
      </c>
      <c r="G21" s="11">
        <f t="shared" si="1"/>
        <v>1.2985729967069157</v>
      </c>
    </row>
    <row r="22" spans="1:7" x14ac:dyDescent="0.2">
      <c r="A22" s="2" t="s">
        <v>102</v>
      </c>
      <c r="B22" s="2" t="s">
        <v>115</v>
      </c>
      <c r="C22" s="9">
        <v>323.63</v>
      </c>
      <c r="D22" s="9">
        <v>485.8</v>
      </c>
      <c r="E22" s="9">
        <v>453.31</v>
      </c>
      <c r="F22" s="21">
        <f t="shared" si="0"/>
        <v>-6.6879374228077437E-2</v>
      </c>
      <c r="G22" s="11">
        <f t="shared" si="1"/>
        <v>0.40070450823471249</v>
      </c>
    </row>
    <row r="23" spans="1:7" x14ac:dyDescent="0.2">
      <c r="A23" s="2" t="s">
        <v>102</v>
      </c>
      <c r="B23" s="2" t="s">
        <v>116</v>
      </c>
      <c r="C23" s="9">
        <v>1081.5999999999999</v>
      </c>
      <c r="D23" s="9">
        <v>1656.2</v>
      </c>
      <c r="E23" s="9">
        <v>1601.6</v>
      </c>
      <c r="F23" s="21">
        <f t="shared" si="0"/>
        <v>-3.2967032967033072E-2</v>
      </c>
      <c r="G23" s="11">
        <f t="shared" si="1"/>
        <v>0.48076923076923084</v>
      </c>
    </row>
    <row r="24" spans="1:7" x14ac:dyDescent="0.2">
      <c r="A24" s="2" t="s">
        <v>102</v>
      </c>
      <c r="B24" s="2" t="s">
        <v>117</v>
      </c>
      <c r="C24" s="9">
        <v>301.18</v>
      </c>
      <c r="D24" s="9">
        <v>542.28</v>
      </c>
      <c r="E24" s="9">
        <v>507.03</v>
      </c>
      <c r="F24" s="21">
        <f t="shared" si="0"/>
        <v>-6.5003319318433284E-2</v>
      </c>
      <c r="G24" s="11">
        <f t="shared" si="1"/>
        <v>0.68347831861345365</v>
      </c>
    </row>
    <row r="25" spans="1:7" x14ac:dyDescent="0.2">
      <c r="A25" s="2" t="s">
        <v>102</v>
      </c>
      <c r="B25" s="2" t="s">
        <v>118</v>
      </c>
      <c r="C25" s="9">
        <v>218.36</v>
      </c>
      <c r="D25" s="9">
        <v>345.8</v>
      </c>
      <c r="E25" s="9">
        <v>318.83999999999997</v>
      </c>
      <c r="F25" s="21">
        <f t="shared" si="0"/>
        <v>-7.7964141122035979E-2</v>
      </c>
      <c r="G25" s="11">
        <f t="shared" si="1"/>
        <v>0.46015753801062442</v>
      </c>
    </row>
    <row r="26" spans="1:7" x14ac:dyDescent="0.2">
      <c r="A26" s="2" t="s">
        <v>102</v>
      </c>
      <c r="B26" s="2" t="s">
        <v>119</v>
      </c>
      <c r="C26" s="9">
        <v>140</v>
      </c>
      <c r="D26" s="9">
        <v>206.85</v>
      </c>
      <c r="E26" s="9">
        <v>195.57</v>
      </c>
      <c r="F26" s="21">
        <f t="shared" si="0"/>
        <v>-5.4532269760696139E-2</v>
      </c>
      <c r="G26" s="11">
        <f t="shared" si="1"/>
        <v>0.3969285714285713</v>
      </c>
    </row>
    <row r="27" spans="1:7" x14ac:dyDescent="0.2">
      <c r="A27" s="2" t="s">
        <v>104</v>
      </c>
      <c r="B27" s="2" t="s">
        <v>120</v>
      </c>
      <c r="C27" s="9">
        <v>345.09</v>
      </c>
      <c r="D27" s="9">
        <v>1063.96</v>
      </c>
      <c r="E27" s="9">
        <v>1029</v>
      </c>
      <c r="F27" s="21">
        <f t="shared" si="0"/>
        <v>-3.2858378134516419E-2</v>
      </c>
      <c r="G27" s="11">
        <f t="shared" si="1"/>
        <v>1.9818308267408504</v>
      </c>
    </row>
    <row r="28" spans="1:7" x14ac:dyDescent="0.2">
      <c r="A28" s="2" t="s">
        <v>104</v>
      </c>
      <c r="B28" s="2" t="s">
        <v>121</v>
      </c>
      <c r="C28" s="9">
        <v>377.41</v>
      </c>
      <c r="D28" s="9">
        <v>1704.16</v>
      </c>
      <c r="E28" s="9">
        <v>1581.8199</v>
      </c>
      <c r="F28" s="21">
        <f t="shared" si="0"/>
        <v>-7.1789092573467328E-2</v>
      </c>
      <c r="G28" s="11">
        <f t="shared" si="1"/>
        <v>3.1912506292891019</v>
      </c>
    </row>
    <row r="29" spans="1:7" x14ac:dyDescent="0.2">
      <c r="A29" s="2" t="s">
        <v>104</v>
      </c>
      <c r="B29" s="2" t="s">
        <v>122</v>
      </c>
      <c r="C29" s="9">
        <v>304.01</v>
      </c>
      <c r="D29" s="9">
        <v>887.09</v>
      </c>
      <c r="E29" s="9">
        <v>783</v>
      </c>
      <c r="F29" s="21">
        <f t="shared" si="0"/>
        <v>-0.11733871422290865</v>
      </c>
      <c r="G29" s="11">
        <f t="shared" si="1"/>
        <v>1.5755731719351336</v>
      </c>
    </row>
    <row r="30" spans="1:7" x14ac:dyDescent="0.2">
      <c r="A30" s="2" t="s">
        <v>104</v>
      </c>
      <c r="B30" s="2" t="s">
        <v>123</v>
      </c>
      <c r="C30" s="9">
        <v>200.46</v>
      </c>
      <c r="D30" s="9">
        <v>441.64</v>
      </c>
      <c r="E30" s="9">
        <v>397.28</v>
      </c>
      <c r="F30" s="21">
        <f t="shared" si="0"/>
        <v>-0.10044380038040035</v>
      </c>
      <c r="G30" s="11">
        <f t="shared" si="1"/>
        <v>0.9818417639429311</v>
      </c>
    </row>
    <row r="31" spans="1:7" x14ac:dyDescent="0.2">
      <c r="A31" s="2" t="s">
        <v>124</v>
      </c>
      <c r="B31" s="2" t="s">
        <v>125</v>
      </c>
      <c r="C31" s="9">
        <v>7083.1310000000003</v>
      </c>
      <c r="D31" s="9">
        <v>13172.74</v>
      </c>
      <c r="E31" s="9">
        <v>12572.42</v>
      </c>
      <c r="F31" s="21">
        <f t="shared" si="0"/>
        <v>-4.5572902828113215E-2</v>
      </c>
      <c r="G31" s="11">
        <f t="shared" si="1"/>
        <v>0.77498058415127424</v>
      </c>
    </row>
    <row r="32" spans="1:7" x14ac:dyDescent="0.2">
      <c r="A32" s="2" t="s">
        <v>124</v>
      </c>
      <c r="B32" s="2" t="s">
        <v>126</v>
      </c>
      <c r="C32" s="9">
        <v>6845.5</v>
      </c>
      <c r="D32" s="9">
        <v>7773.95</v>
      </c>
      <c r="E32" s="9">
        <v>7811.54</v>
      </c>
      <c r="F32" s="21">
        <f t="shared" si="0"/>
        <v>4.8353796975797447E-3</v>
      </c>
      <c r="G32" s="11">
        <f t="shared" si="1"/>
        <v>0.14112044408735658</v>
      </c>
    </row>
    <row r="33" spans="1:7" x14ac:dyDescent="0.2">
      <c r="A33" s="2" t="s">
        <v>124</v>
      </c>
      <c r="B33" s="2" t="s">
        <v>127</v>
      </c>
      <c r="C33" s="9">
        <v>7763.92</v>
      </c>
      <c r="D33" s="9">
        <v>8554.02</v>
      </c>
      <c r="E33" s="9">
        <v>8632.59</v>
      </c>
      <c r="F33" s="21">
        <f t="shared" si="0"/>
        <v>9.1851550499062462E-3</v>
      </c>
      <c r="G33" s="11">
        <f t="shared" si="1"/>
        <v>0.11188549083452681</v>
      </c>
    </row>
    <row r="34" spans="1:7" x14ac:dyDescent="0.2">
      <c r="A34" s="2" t="s">
        <v>124</v>
      </c>
      <c r="B34" s="2" t="s">
        <v>128</v>
      </c>
      <c r="C34" s="9">
        <v>23241.99</v>
      </c>
      <c r="D34" s="9">
        <v>27477.31</v>
      </c>
      <c r="E34" s="9">
        <v>27366.17</v>
      </c>
      <c r="F34" s="21">
        <f t="shared" si="0"/>
        <v>-4.0447918664527904E-3</v>
      </c>
      <c r="G34" s="11">
        <f t="shared" si="1"/>
        <v>0.17744521876138819</v>
      </c>
    </row>
    <row r="35" spans="1:7" x14ac:dyDescent="0.2">
      <c r="A35" s="2" t="s">
        <v>124</v>
      </c>
      <c r="B35" s="2" t="s">
        <v>129</v>
      </c>
      <c r="C35" s="9">
        <v>2481.91</v>
      </c>
      <c r="D35" s="9">
        <v>2847.14</v>
      </c>
      <c r="E35" s="9">
        <v>2806.98</v>
      </c>
      <c r="F35" s="21">
        <f t="shared" si="0"/>
        <v>-1.4105382945692857E-2</v>
      </c>
      <c r="G35" s="11">
        <f t="shared" si="1"/>
        <v>0.1309757404579539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5"/>
  <sheetViews>
    <sheetView workbookViewId="0"/>
  </sheetViews>
  <sheetFormatPr baseColWidth="10" defaultColWidth="8.83203125" defaultRowHeight="15" x14ac:dyDescent="0.2"/>
  <cols>
    <col min="1" max="1" width="10" customWidth="1"/>
    <col min="2" max="2" width="16" customWidth="1"/>
    <col min="3" max="3" width="9" customWidth="1"/>
    <col min="4" max="4" width="3" customWidth="1"/>
    <col min="5" max="6" width="11" customWidth="1"/>
    <col min="7" max="7" width="9" customWidth="1"/>
    <col min="8" max="8" width="13" customWidth="1"/>
    <col min="9" max="9" width="3" customWidth="1"/>
    <col min="10" max="10" width="20" customWidth="1"/>
    <col min="11" max="11" width="12" customWidth="1"/>
  </cols>
  <sheetData>
    <row r="1" spans="1:11" ht="16" x14ac:dyDescent="0.2">
      <c r="A1" s="1" t="s">
        <v>130</v>
      </c>
    </row>
    <row r="2" spans="1:11" x14ac:dyDescent="0.2">
      <c r="A2" s="4" t="s">
        <v>131</v>
      </c>
    </row>
    <row r="3" spans="1:11" x14ac:dyDescent="0.2">
      <c r="A3" s="4" t="s">
        <v>132</v>
      </c>
    </row>
    <row r="5" spans="1:11" ht="28" x14ac:dyDescent="0.2">
      <c r="A5" s="5" t="s">
        <v>133</v>
      </c>
      <c r="B5" s="5" t="s">
        <v>134</v>
      </c>
      <c r="C5" s="5" t="s">
        <v>135</v>
      </c>
      <c r="E5" s="5" t="s">
        <v>22</v>
      </c>
      <c r="F5" s="5" t="s">
        <v>125</v>
      </c>
      <c r="G5" s="5" t="s">
        <v>136</v>
      </c>
      <c r="H5" s="5" t="s">
        <v>137</v>
      </c>
      <c r="J5" s="3" t="s">
        <v>138</v>
      </c>
    </row>
    <row r="6" spans="1:11" x14ac:dyDescent="0.2">
      <c r="A6" s="22">
        <v>45658</v>
      </c>
      <c r="B6" s="7">
        <v>293288</v>
      </c>
      <c r="C6" s="23">
        <v>0.35899999999999999</v>
      </c>
      <c r="E6" s="6">
        <v>45943</v>
      </c>
      <c r="F6" s="9">
        <v>6723.4639999999999</v>
      </c>
      <c r="G6" s="16">
        <v>36.363199999999999</v>
      </c>
      <c r="H6" s="24">
        <f t="shared" ref="H6:H69" si="0">F6/G6</f>
        <v>184.89747876974525</v>
      </c>
      <c r="J6" s="2" t="s">
        <v>139</v>
      </c>
      <c r="K6" s="18">
        <f>F251</f>
        <v>13172.74</v>
      </c>
    </row>
    <row r="7" spans="1:11" x14ac:dyDescent="0.2">
      <c r="A7" s="22">
        <v>45689</v>
      </c>
      <c r="B7" s="7">
        <v>260009</v>
      </c>
      <c r="C7" s="23">
        <v>0.43099999999999999</v>
      </c>
      <c r="E7" s="6">
        <v>45944</v>
      </c>
      <c r="F7" s="9">
        <v>6570.3270000000002</v>
      </c>
      <c r="G7" s="16">
        <v>35.5319</v>
      </c>
      <c r="H7" s="24">
        <f t="shared" si="0"/>
        <v>184.91347211941945</v>
      </c>
      <c r="J7" s="2" t="s">
        <v>140</v>
      </c>
      <c r="K7" s="18">
        <f>F255</f>
        <v>12572.42</v>
      </c>
    </row>
    <row r="8" spans="1:11" x14ac:dyDescent="0.2">
      <c r="A8" s="22">
        <v>45717</v>
      </c>
      <c r="B8" s="7">
        <v>285957</v>
      </c>
      <c r="C8" s="23">
        <v>0.46500000000000002</v>
      </c>
      <c r="E8" s="6">
        <v>45945</v>
      </c>
      <c r="F8" s="9">
        <v>6767.058</v>
      </c>
      <c r="G8" s="16">
        <v>36.564100000000003</v>
      </c>
      <c r="H8" s="24">
        <f t="shared" si="0"/>
        <v>185.0738292478141</v>
      </c>
      <c r="J8" s="2" t="s">
        <v>53</v>
      </c>
      <c r="K8" s="13">
        <f>K7/K6-1</f>
        <v>-4.5572902828113215E-2</v>
      </c>
    </row>
    <row r="9" spans="1:11" x14ac:dyDescent="0.2">
      <c r="A9" s="22">
        <v>45748</v>
      </c>
      <c r="B9" s="7">
        <v>349567</v>
      </c>
      <c r="C9" s="23">
        <v>0.48099999999999998</v>
      </c>
      <c r="E9" s="6">
        <v>45946</v>
      </c>
      <c r="F9" s="9">
        <v>6800.018</v>
      </c>
      <c r="G9" s="16">
        <v>36.643000000000001</v>
      </c>
      <c r="H9" s="24">
        <f t="shared" si="0"/>
        <v>185.57481647245041</v>
      </c>
      <c r="J9" s="2" t="s">
        <v>141</v>
      </c>
      <c r="K9" s="18">
        <f>F61</f>
        <v>7083.1310000000003</v>
      </c>
    </row>
    <row r="10" spans="1:11" x14ac:dyDescent="0.2">
      <c r="A10" s="22">
        <v>45778</v>
      </c>
      <c r="B10" s="7">
        <v>320516</v>
      </c>
      <c r="C10" s="23">
        <v>0.39600000000000002</v>
      </c>
      <c r="E10" s="6">
        <v>45947</v>
      </c>
      <c r="F10" s="9">
        <v>6777.9809999999998</v>
      </c>
      <c r="G10" s="16">
        <v>36.481299999999997</v>
      </c>
      <c r="H10" s="24">
        <f t="shared" si="0"/>
        <v>185.79329683975078</v>
      </c>
      <c r="J10" s="2" t="s">
        <v>142</v>
      </c>
      <c r="K10" s="13">
        <f>K7/K9-1</f>
        <v>0.77498058415127424</v>
      </c>
    </row>
    <row r="11" spans="1:11" x14ac:dyDescent="0.2">
      <c r="A11" s="22">
        <v>45809</v>
      </c>
      <c r="B11" s="7">
        <v>263709</v>
      </c>
      <c r="C11" s="23">
        <v>0.26900000000000002</v>
      </c>
      <c r="E11" s="6">
        <v>45950</v>
      </c>
      <c r="F11" s="9">
        <v>6885.027</v>
      </c>
      <c r="G11" s="16">
        <v>37.041600000000003</v>
      </c>
      <c r="H11" s="24">
        <f t="shared" si="0"/>
        <v>185.87282946740962</v>
      </c>
      <c r="J11" s="2" t="s">
        <v>143</v>
      </c>
      <c r="K11" s="13">
        <f>F254/F253-1</f>
        <v>-3.3861542994684801E-2</v>
      </c>
    </row>
    <row r="12" spans="1:11" x14ac:dyDescent="0.2">
      <c r="A12" s="22">
        <v>45839</v>
      </c>
      <c r="B12" s="7">
        <v>323166</v>
      </c>
      <c r="C12" s="23">
        <v>0.25800000000000001</v>
      </c>
      <c r="E12" s="6">
        <v>45951</v>
      </c>
      <c r="F12" s="9">
        <v>6839.2690000000002</v>
      </c>
      <c r="G12" s="16">
        <v>36.756599999999999</v>
      </c>
      <c r="H12" s="24">
        <f t="shared" si="0"/>
        <v>186.0691413242792</v>
      </c>
      <c r="J12" s="2" t="s">
        <v>144</v>
      </c>
      <c r="K12" s="19">
        <f>G251</f>
        <v>30.149100000000001</v>
      </c>
    </row>
    <row r="13" spans="1:11" x14ac:dyDescent="0.2">
      <c r="A13" s="22">
        <v>45870</v>
      </c>
      <c r="B13" s="7">
        <v>335772</v>
      </c>
      <c r="C13" s="23">
        <v>0.33800000000000002</v>
      </c>
      <c r="E13" s="6">
        <v>45952</v>
      </c>
      <c r="F13" s="9">
        <v>6677.5720000000001</v>
      </c>
      <c r="G13" s="16">
        <v>35.862200000000001</v>
      </c>
      <c r="H13" s="24">
        <f t="shared" si="0"/>
        <v>186.20084657382984</v>
      </c>
      <c r="J13" s="2" t="s">
        <v>145</v>
      </c>
      <c r="K13" s="19">
        <f>G255</f>
        <v>28.776</v>
      </c>
    </row>
    <row r="14" spans="1:11" x14ac:dyDescent="0.2">
      <c r="A14" s="22">
        <v>45901</v>
      </c>
      <c r="B14" s="7">
        <v>330980</v>
      </c>
      <c r="C14" s="23">
        <v>0.314</v>
      </c>
      <c r="E14" s="6">
        <v>45953</v>
      </c>
      <c r="F14" s="9">
        <v>6847.3890000000001</v>
      </c>
      <c r="G14" s="16">
        <v>37.220799999999997</v>
      </c>
      <c r="H14" s="24">
        <f t="shared" si="0"/>
        <v>183.96673365430084</v>
      </c>
      <c r="J14" s="2" t="s">
        <v>146</v>
      </c>
      <c r="K14" s="19">
        <f>G61</f>
        <v>36.954700000000003</v>
      </c>
    </row>
    <row r="15" spans="1:11" x14ac:dyDescent="0.2">
      <c r="A15" s="22">
        <v>45931</v>
      </c>
      <c r="B15" s="7">
        <v>367473</v>
      </c>
      <c r="C15" s="23">
        <v>0.16900000000000001</v>
      </c>
      <c r="E15" s="6">
        <v>45954</v>
      </c>
      <c r="F15" s="9">
        <v>6976.9380000000001</v>
      </c>
      <c r="G15" s="16">
        <v>37.939599999999999</v>
      </c>
      <c r="H15" s="24">
        <f t="shared" si="0"/>
        <v>183.89592931923374</v>
      </c>
      <c r="J15" s="2" t="s">
        <v>147</v>
      </c>
      <c r="K15" s="19">
        <f>AVERAGE(G6:G255)</f>
        <v>32.51976479999999</v>
      </c>
    </row>
    <row r="16" spans="1:11" x14ac:dyDescent="0.2">
      <c r="A16" s="22">
        <v>45962</v>
      </c>
      <c r="B16" s="7">
        <v>343614</v>
      </c>
      <c r="C16" s="23">
        <v>0.245</v>
      </c>
      <c r="E16" s="6">
        <v>45957</v>
      </c>
      <c r="F16" s="9">
        <v>7167.9790000000003</v>
      </c>
      <c r="G16" s="16">
        <v>38.9009</v>
      </c>
      <c r="H16" s="24">
        <f t="shared" si="0"/>
        <v>184.26254919551991</v>
      </c>
      <c r="J16" s="2" t="s">
        <v>148</v>
      </c>
      <c r="K16" s="19">
        <f>MIN(G6:G255)</f>
        <v>18.064800000000002</v>
      </c>
    </row>
    <row r="17" spans="1:11" x14ac:dyDescent="0.2">
      <c r="A17" s="22">
        <v>45992</v>
      </c>
      <c r="B17" s="7">
        <v>335003</v>
      </c>
      <c r="C17" s="23">
        <v>0.20399999999999999</v>
      </c>
      <c r="E17" s="6">
        <v>45958</v>
      </c>
      <c r="F17" s="9">
        <v>7194.7110000000002</v>
      </c>
      <c r="G17" s="16">
        <v>39.029699999999998</v>
      </c>
      <c r="H17" s="24">
        <f t="shared" si="0"/>
        <v>184.33938769706148</v>
      </c>
      <c r="J17" s="2" t="s">
        <v>149</v>
      </c>
      <c r="K17" s="19">
        <f>MAX(G6:G255)</f>
        <v>45.810899999999997</v>
      </c>
    </row>
    <row r="18" spans="1:11" x14ac:dyDescent="0.2">
      <c r="A18" s="22">
        <v>46023</v>
      </c>
      <c r="B18" s="7">
        <v>401255</v>
      </c>
      <c r="C18" s="11">
        <f t="shared" ref="C18:C26" si="1">B18/B6-1</f>
        <v>0.3681262104143368</v>
      </c>
      <c r="E18" s="6">
        <v>45959</v>
      </c>
      <c r="F18" s="9">
        <v>7327.93</v>
      </c>
      <c r="G18" s="16">
        <v>39.680500000000002</v>
      </c>
      <c r="H18" s="24">
        <f t="shared" si="0"/>
        <v>184.67332820906995</v>
      </c>
      <c r="J18" s="2" t="s">
        <v>150</v>
      </c>
      <c r="K18" s="25">
        <f>H251</f>
        <v>436.91984171998502</v>
      </c>
    </row>
    <row r="19" spans="1:11" x14ac:dyDescent="0.2">
      <c r="A19" s="22">
        <v>46054</v>
      </c>
      <c r="B19" s="7">
        <v>317657</v>
      </c>
      <c r="C19" s="11">
        <f t="shared" si="1"/>
        <v>0.22171540215915608</v>
      </c>
      <c r="E19" s="6">
        <v>45960</v>
      </c>
      <c r="F19" s="9">
        <v>7215.9989999999998</v>
      </c>
      <c r="G19" s="16">
        <v>39.066800000000001</v>
      </c>
      <c r="H19" s="24">
        <f t="shared" si="0"/>
        <v>184.70924160668392</v>
      </c>
      <c r="J19" s="2" t="s">
        <v>151</v>
      </c>
      <c r="K19" s="25">
        <f>H255</f>
        <v>436.90644981929387</v>
      </c>
    </row>
    <row r="20" spans="1:11" x14ac:dyDescent="0.2">
      <c r="A20" s="22">
        <v>46082</v>
      </c>
      <c r="B20" s="7">
        <v>415191</v>
      </c>
      <c r="C20" s="11">
        <f t="shared" si="1"/>
        <v>0.45193508114856429</v>
      </c>
      <c r="E20" s="6">
        <v>45961</v>
      </c>
      <c r="F20" s="9">
        <v>7228.6610000000001</v>
      </c>
      <c r="G20" s="16">
        <v>39.128500000000003</v>
      </c>
      <c r="H20" s="24">
        <f t="shared" si="0"/>
        <v>184.74158222267656</v>
      </c>
      <c r="J20" s="2" t="s">
        <v>152</v>
      </c>
      <c r="K20" s="25">
        <f>H61</f>
        <v>191.6706399997835</v>
      </c>
    </row>
    <row r="21" spans="1:11" x14ac:dyDescent="0.2">
      <c r="A21" s="22">
        <v>46113</v>
      </c>
      <c r="B21" s="7">
        <v>410726</v>
      </c>
      <c r="C21" s="11">
        <f t="shared" si="1"/>
        <v>0.17495644611762562</v>
      </c>
      <c r="E21" s="6">
        <v>45964</v>
      </c>
      <c r="F21" s="9">
        <v>7270.9690000000001</v>
      </c>
      <c r="G21" s="16">
        <v>39.394300000000001</v>
      </c>
      <c r="H21" s="24">
        <f t="shared" si="0"/>
        <v>184.56906202166303</v>
      </c>
      <c r="J21" s="2" t="s">
        <v>153</v>
      </c>
      <c r="K21" s="15">
        <f>K19/K20-1</f>
        <v>1.2794646578098106</v>
      </c>
    </row>
    <row r="22" spans="1:11" x14ac:dyDescent="0.2">
      <c r="A22" s="22">
        <v>46143</v>
      </c>
      <c r="B22" s="7">
        <v>416975</v>
      </c>
      <c r="C22" s="11">
        <f t="shared" si="1"/>
        <v>0.30094909458498176</v>
      </c>
      <c r="E22" s="6">
        <v>45965</v>
      </c>
      <c r="F22" s="9">
        <v>6979.5730000000003</v>
      </c>
      <c r="G22" s="16">
        <v>38.090200000000003</v>
      </c>
      <c r="H22" s="24">
        <f t="shared" si="0"/>
        <v>183.23802447873732</v>
      </c>
    </row>
    <row r="23" spans="1:11" x14ac:dyDescent="0.2">
      <c r="A23" s="22">
        <v>46174</v>
      </c>
      <c r="B23" s="7">
        <v>442680</v>
      </c>
      <c r="C23" s="11">
        <f t="shared" si="1"/>
        <v>0.67866853235953273</v>
      </c>
      <c r="E23" s="6">
        <v>45966</v>
      </c>
      <c r="F23" s="9">
        <v>7190.2659999999996</v>
      </c>
      <c r="G23" s="16">
        <v>39.444699999999997</v>
      </c>
      <c r="H23" s="24">
        <f t="shared" si="0"/>
        <v>182.28725278681293</v>
      </c>
    </row>
    <row r="24" spans="1:11" x14ac:dyDescent="0.2">
      <c r="A24" s="22">
        <v>46204</v>
      </c>
      <c r="B24" s="7">
        <v>467580</v>
      </c>
      <c r="C24" s="11">
        <f t="shared" si="1"/>
        <v>0.44687250515215093</v>
      </c>
      <c r="E24" s="6">
        <v>45967</v>
      </c>
      <c r="F24" s="9">
        <v>7018.3940000000002</v>
      </c>
      <c r="G24" s="16">
        <v>37.918799999999997</v>
      </c>
      <c r="H24" s="24">
        <f t="shared" si="0"/>
        <v>185.09008723904768</v>
      </c>
    </row>
    <row r="25" spans="1:11" x14ac:dyDescent="0.2">
      <c r="A25" s="22">
        <v>46235</v>
      </c>
      <c r="B25" s="7">
        <v>514806</v>
      </c>
      <c r="C25" s="11">
        <f t="shared" si="1"/>
        <v>0.5332011007469355</v>
      </c>
      <c r="E25" s="6">
        <v>45968</v>
      </c>
      <c r="F25" s="9">
        <v>6947.3639999999996</v>
      </c>
      <c r="G25" s="16">
        <v>37.526499999999999</v>
      </c>
      <c r="H25" s="24">
        <f t="shared" si="0"/>
        <v>185.13221323597989</v>
      </c>
    </row>
    <row r="26" spans="1:11" x14ac:dyDescent="0.2">
      <c r="A26" s="22">
        <v>46266</v>
      </c>
      <c r="B26" s="7">
        <v>511857</v>
      </c>
      <c r="C26" s="11">
        <f t="shared" si="1"/>
        <v>0.54648921384977944</v>
      </c>
      <c r="E26" s="6">
        <v>45971</v>
      </c>
      <c r="F26" s="9">
        <v>7156.9539999999997</v>
      </c>
      <c r="G26" s="16">
        <v>38.655099999999997</v>
      </c>
      <c r="H26" s="24">
        <f t="shared" si="0"/>
        <v>185.14902302671575</v>
      </c>
    </row>
    <row r="27" spans="1:11" x14ac:dyDescent="0.2">
      <c r="E27" s="6">
        <v>45972</v>
      </c>
      <c r="F27" s="9">
        <v>6979.701</v>
      </c>
      <c r="G27" s="16">
        <v>37.684199999999997</v>
      </c>
      <c r="H27" s="24">
        <f t="shared" si="0"/>
        <v>185.21558106580477</v>
      </c>
    </row>
    <row r="28" spans="1:11" x14ac:dyDescent="0.2">
      <c r="A28" s="2" t="s">
        <v>154</v>
      </c>
      <c r="B28" s="15">
        <f>C26</f>
        <v>0.54648921384977944</v>
      </c>
      <c r="E28" s="6">
        <v>45973</v>
      </c>
      <c r="F28" s="9">
        <v>7082.1260000000002</v>
      </c>
      <c r="G28" s="16">
        <v>38.2226</v>
      </c>
      <c r="H28" s="24">
        <f t="shared" si="0"/>
        <v>185.28634891399329</v>
      </c>
    </row>
    <row r="29" spans="1:11" x14ac:dyDescent="0.2">
      <c r="A29" s="2" t="s">
        <v>155</v>
      </c>
      <c r="B29" s="15">
        <f>SUM(B18:B26)/SUM(B6:B14)-1</f>
        <v>0.41106688324567386</v>
      </c>
      <c r="E29" s="6">
        <v>45974</v>
      </c>
      <c r="F29" s="9">
        <v>6818.7359999999999</v>
      </c>
      <c r="G29" s="16">
        <v>36.752200000000002</v>
      </c>
      <c r="H29" s="24">
        <f t="shared" si="0"/>
        <v>185.53273001344135</v>
      </c>
    </row>
    <row r="30" spans="1:11" x14ac:dyDescent="0.2">
      <c r="E30" s="6">
        <v>45975</v>
      </c>
      <c r="F30" s="9">
        <v>6811.1989999999996</v>
      </c>
      <c r="G30" s="16">
        <v>36.704099999999997</v>
      </c>
      <c r="H30" s="24">
        <f t="shared" si="0"/>
        <v>185.57052209426195</v>
      </c>
    </row>
    <row r="31" spans="1:11" x14ac:dyDescent="0.2">
      <c r="E31" s="6">
        <v>45978</v>
      </c>
      <c r="F31" s="9">
        <v>6705.7370000000001</v>
      </c>
      <c r="G31" s="16">
        <v>36.1053</v>
      </c>
      <c r="H31" s="24">
        <f t="shared" si="0"/>
        <v>185.72722010341971</v>
      </c>
    </row>
    <row r="32" spans="1:11" x14ac:dyDescent="0.2">
      <c r="E32" s="6">
        <v>45979</v>
      </c>
      <c r="F32" s="9">
        <v>6551.0339999999997</v>
      </c>
      <c r="G32" s="16">
        <v>35.271500000000003</v>
      </c>
      <c r="H32" s="24">
        <f t="shared" si="0"/>
        <v>185.73165303431946</v>
      </c>
    </row>
    <row r="33" spans="5:8" x14ac:dyDescent="0.2">
      <c r="E33" s="6">
        <v>45980</v>
      </c>
      <c r="F33" s="9">
        <v>6670.03</v>
      </c>
      <c r="G33" s="16">
        <v>35.857700000000001</v>
      </c>
      <c r="H33" s="24">
        <f t="shared" si="0"/>
        <v>186.01388265281932</v>
      </c>
    </row>
    <row r="34" spans="5:8" x14ac:dyDescent="0.2">
      <c r="E34" s="6">
        <v>45981</v>
      </c>
      <c r="F34" s="9">
        <v>6352.067</v>
      </c>
      <c r="G34" s="16">
        <v>34.125500000000002</v>
      </c>
      <c r="H34" s="24">
        <f t="shared" si="0"/>
        <v>186.13843020615082</v>
      </c>
    </row>
    <row r="35" spans="5:8" x14ac:dyDescent="0.2">
      <c r="E35" s="6">
        <v>45982</v>
      </c>
      <c r="F35" s="9">
        <v>6406.4319999999998</v>
      </c>
      <c r="G35" s="16">
        <v>34.426200000000001</v>
      </c>
      <c r="H35" s="24">
        <f t="shared" si="0"/>
        <v>186.09175569769533</v>
      </c>
    </row>
    <row r="36" spans="5:8" x14ac:dyDescent="0.2">
      <c r="E36" s="6">
        <v>45985</v>
      </c>
      <c r="F36" s="9">
        <v>6703.1989999999996</v>
      </c>
      <c r="G36" s="16">
        <v>36.016800000000003</v>
      </c>
      <c r="H36" s="24">
        <f t="shared" si="0"/>
        <v>186.1131194331534</v>
      </c>
    </row>
    <row r="37" spans="5:8" x14ac:dyDescent="0.2">
      <c r="E37" s="6">
        <v>45986</v>
      </c>
      <c r="F37" s="9">
        <v>6714.1790000000001</v>
      </c>
      <c r="G37" s="16">
        <v>36.066200000000002</v>
      </c>
      <c r="H37" s="24">
        <f t="shared" si="0"/>
        <v>186.16263981234508</v>
      </c>
    </row>
    <row r="38" spans="5:8" x14ac:dyDescent="0.2">
      <c r="E38" s="6">
        <v>45987</v>
      </c>
      <c r="F38" s="9">
        <v>6899.4610000000002</v>
      </c>
      <c r="G38" s="16">
        <v>37.043500000000002</v>
      </c>
      <c r="H38" s="24">
        <f t="shared" si="0"/>
        <v>186.25294586094725</v>
      </c>
    </row>
    <row r="39" spans="5:8" x14ac:dyDescent="0.2">
      <c r="E39" s="6">
        <v>45989</v>
      </c>
      <c r="F39" s="9">
        <v>7025.15</v>
      </c>
      <c r="G39" s="16">
        <v>37.720399999999998</v>
      </c>
      <c r="H39" s="24">
        <f t="shared" si="0"/>
        <v>186.24272277070233</v>
      </c>
    </row>
    <row r="40" spans="5:8" x14ac:dyDescent="0.2">
      <c r="E40" s="6">
        <v>45992</v>
      </c>
      <c r="F40" s="9">
        <v>7020.5259999999998</v>
      </c>
      <c r="G40" s="16">
        <v>37.683599999999998</v>
      </c>
      <c r="H40" s="24">
        <f t="shared" si="0"/>
        <v>186.30189260049465</v>
      </c>
    </row>
    <row r="41" spans="5:8" x14ac:dyDescent="0.2">
      <c r="E41" s="6">
        <v>45993</v>
      </c>
      <c r="F41" s="9">
        <v>7149.4709999999995</v>
      </c>
      <c r="G41" s="16">
        <v>38.612499999999997</v>
      </c>
      <c r="H41" s="24">
        <f t="shared" si="0"/>
        <v>185.1594949821949</v>
      </c>
    </row>
    <row r="42" spans="5:8" x14ac:dyDescent="0.2">
      <c r="E42" s="6">
        <v>45994</v>
      </c>
      <c r="F42" s="9">
        <v>7280.5110000000004</v>
      </c>
      <c r="G42" s="16">
        <v>39.306399999999996</v>
      </c>
      <c r="H42" s="24">
        <f t="shared" si="0"/>
        <v>185.22456902692693</v>
      </c>
    </row>
    <row r="43" spans="5:8" x14ac:dyDescent="0.2">
      <c r="E43" s="6">
        <v>45995</v>
      </c>
      <c r="F43" s="9">
        <v>7215.9690000000001</v>
      </c>
      <c r="G43" s="16">
        <v>38.959000000000003</v>
      </c>
      <c r="H43" s="24">
        <f t="shared" si="0"/>
        <v>185.21956415719089</v>
      </c>
    </row>
    <row r="44" spans="5:8" x14ac:dyDescent="0.2">
      <c r="E44" s="6">
        <v>45996</v>
      </c>
      <c r="F44" s="9">
        <v>7294.8370000000004</v>
      </c>
      <c r="G44" s="16">
        <v>39.360700000000001</v>
      </c>
      <c r="H44" s="24">
        <f t="shared" si="0"/>
        <v>185.33300982960162</v>
      </c>
    </row>
    <row r="45" spans="5:8" x14ac:dyDescent="0.2">
      <c r="E45" s="6">
        <v>45999</v>
      </c>
      <c r="F45" s="9">
        <v>7375.2150000000001</v>
      </c>
      <c r="G45" s="16">
        <v>39.727400000000003</v>
      </c>
      <c r="H45" s="24">
        <f t="shared" si="0"/>
        <v>185.64554941929248</v>
      </c>
    </row>
    <row r="46" spans="5:8" x14ac:dyDescent="0.2">
      <c r="E46" s="6">
        <v>46000</v>
      </c>
      <c r="F46" s="9">
        <v>7372.5119999999997</v>
      </c>
      <c r="G46" s="16">
        <v>39.706099999999999</v>
      </c>
      <c r="H46" s="24">
        <f t="shared" si="0"/>
        <v>185.67706221462194</v>
      </c>
    </row>
    <row r="47" spans="5:8" x14ac:dyDescent="0.2">
      <c r="E47" s="6">
        <v>46001</v>
      </c>
      <c r="F47" s="9">
        <v>7467.4880000000003</v>
      </c>
      <c r="G47" s="16">
        <v>40.218000000000004</v>
      </c>
      <c r="H47" s="24">
        <f t="shared" si="0"/>
        <v>185.67526977970061</v>
      </c>
    </row>
    <row r="48" spans="5:8" x14ac:dyDescent="0.2">
      <c r="E48" s="6">
        <v>46002</v>
      </c>
      <c r="F48" s="9">
        <v>7411.4840000000004</v>
      </c>
      <c r="G48" s="16">
        <v>39.766199999999998</v>
      </c>
      <c r="H48" s="24">
        <f t="shared" si="0"/>
        <v>186.37647046989656</v>
      </c>
    </row>
    <row r="49" spans="5:8" x14ac:dyDescent="0.2">
      <c r="E49" s="6">
        <v>46003</v>
      </c>
      <c r="F49" s="9">
        <v>7033.5649999999996</v>
      </c>
      <c r="G49" s="16">
        <v>37.718600000000002</v>
      </c>
      <c r="H49" s="24">
        <f t="shared" si="0"/>
        <v>186.4747100899821</v>
      </c>
    </row>
    <row r="50" spans="5:8" x14ac:dyDescent="0.2">
      <c r="E50" s="6">
        <v>46006</v>
      </c>
      <c r="F50" s="9">
        <v>6990.4049999999997</v>
      </c>
      <c r="G50" s="16">
        <v>37.470799999999997</v>
      </c>
      <c r="H50" s="24">
        <f t="shared" si="0"/>
        <v>186.55606498927165</v>
      </c>
    </row>
    <row r="51" spans="5:8" x14ac:dyDescent="0.2">
      <c r="E51" s="6">
        <v>46007</v>
      </c>
      <c r="F51" s="9">
        <v>6958.4380000000001</v>
      </c>
      <c r="G51" s="16">
        <v>37.297499999999999</v>
      </c>
      <c r="H51" s="24">
        <f t="shared" si="0"/>
        <v>186.56580199745292</v>
      </c>
    </row>
    <row r="52" spans="5:8" x14ac:dyDescent="0.2">
      <c r="E52" s="6">
        <v>46008</v>
      </c>
      <c r="F52" s="9">
        <v>6695.3090000000002</v>
      </c>
      <c r="G52" s="16">
        <v>35.421599999999998</v>
      </c>
      <c r="H52" s="24">
        <f t="shared" si="0"/>
        <v>189.01768977121307</v>
      </c>
    </row>
    <row r="53" spans="5:8" x14ac:dyDescent="0.2">
      <c r="E53" s="6">
        <v>46009</v>
      </c>
      <c r="F53" s="9">
        <v>6863.6279999999997</v>
      </c>
      <c r="G53" s="16">
        <v>36.111199999999997</v>
      </c>
      <c r="H53" s="24">
        <f t="shared" si="0"/>
        <v>190.069230598817</v>
      </c>
    </row>
    <row r="54" spans="5:8" x14ac:dyDescent="0.2">
      <c r="E54" s="6">
        <v>46010</v>
      </c>
      <c r="F54" s="9">
        <v>7067.8649999999998</v>
      </c>
      <c r="G54" s="16">
        <v>37.184699999999999</v>
      </c>
      <c r="H54" s="24">
        <f t="shared" si="0"/>
        <v>190.0745467894053</v>
      </c>
    </row>
    <row r="55" spans="5:8" x14ac:dyDescent="0.2">
      <c r="E55" s="6">
        <v>46013</v>
      </c>
      <c r="F55" s="9">
        <v>7145.57</v>
      </c>
      <c r="G55" s="16">
        <v>37.290999999999997</v>
      </c>
      <c r="H55" s="24">
        <f t="shared" si="0"/>
        <v>191.61647582526615</v>
      </c>
    </row>
    <row r="56" spans="5:8" x14ac:dyDescent="0.2">
      <c r="E56" s="6">
        <v>46014</v>
      </c>
      <c r="F56" s="9">
        <v>7184.5429999999997</v>
      </c>
      <c r="G56" s="16">
        <v>37.494300000000003</v>
      </c>
      <c r="H56" s="24">
        <f t="shared" si="0"/>
        <v>191.61693910807773</v>
      </c>
    </row>
    <row r="57" spans="5:8" x14ac:dyDescent="0.2">
      <c r="E57" s="6">
        <v>46015</v>
      </c>
      <c r="F57" s="9">
        <v>7204.3680000000004</v>
      </c>
      <c r="G57" s="16">
        <v>37.591700000000003</v>
      </c>
      <c r="H57" s="24">
        <f t="shared" si="0"/>
        <v>191.64783715554231</v>
      </c>
    </row>
    <row r="58" spans="5:8" x14ac:dyDescent="0.2">
      <c r="E58" s="6">
        <v>46017</v>
      </c>
      <c r="F58" s="9">
        <v>7207.6390000000001</v>
      </c>
      <c r="G58" s="16">
        <v>37.608800000000002</v>
      </c>
      <c r="H58" s="24">
        <f t="shared" si="0"/>
        <v>191.64767288506945</v>
      </c>
    </row>
    <row r="59" spans="5:8" x14ac:dyDescent="0.2">
      <c r="E59" s="6">
        <v>46020</v>
      </c>
      <c r="F59" s="9">
        <v>7178.2719999999999</v>
      </c>
      <c r="G59" s="16">
        <v>37.452800000000003</v>
      </c>
      <c r="H59" s="24">
        <f t="shared" si="0"/>
        <v>191.66182501708815</v>
      </c>
    </row>
    <row r="60" spans="5:8" x14ac:dyDescent="0.2">
      <c r="E60" s="6">
        <v>46021</v>
      </c>
      <c r="F60" s="9">
        <v>7169.0990000000002</v>
      </c>
      <c r="G60" s="16">
        <v>37.403199999999998</v>
      </c>
      <c r="H60" s="24">
        <f t="shared" si="0"/>
        <v>191.67073940197631</v>
      </c>
    </row>
    <row r="61" spans="5:8" x14ac:dyDescent="0.2">
      <c r="E61" s="6">
        <v>46022</v>
      </c>
      <c r="F61" s="9">
        <v>7083.1310000000003</v>
      </c>
      <c r="G61" s="16">
        <v>36.954700000000003</v>
      </c>
      <c r="H61" s="24">
        <f t="shared" si="0"/>
        <v>191.6706399997835</v>
      </c>
    </row>
    <row r="62" spans="5:8" x14ac:dyDescent="0.2">
      <c r="E62" s="6">
        <v>46024</v>
      </c>
      <c r="F62" s="9">
        <v>7367.473</v>
      </c>
      <c r="G62" s="16">
        <v>38.421500000000002</v>
      </c>
      <c r="H62" s="24">
        <f t="shared" si="0"/>
        <v>191.75391382429109</v>
      </c>
    </row>
    <row r="63" spans="5:8" x14ac:dyDescent="0.2">
      <c r="E63" s="6">
        <v>46027</v>
      </c>
      <c r="F63" s="9">
        <v>7446.4539999999997</v>
      </c>
      <c r="G63" s="16">
        <v>38.823900000000002</v>
      </c>
      <c r="H63" s="24">
        <f t="shared" si="0"/>
        <v>191.80077220475016</v>
      </c>
    </row>
    <row r="64" spans="5:8" x14ac:dyDescent="0.2">
      <c r="E64" s="6">
        <v>46028</v>
      </c>
      <c r="F64" s="9">
        <v>7650.9290000000001</v>
      </c>
      <c r="G64" s="16">
        <v>39.884500000000003</v>
      </c>
      <c r="H64" s="24">
        <f t="shared" si="0"/>
        <v>191.82712582582204</v>
      </c>
    </row>
    <row r="65" spans="5:8" x14ac:dyDescent="0.2">
      <c r="E65" s="6">
        <v>46029</v>
      </c>
      <c r="F65" s="9">
        <v>7574.8720000000003</v>
      </c>
      <c r="G65" s="16">
        <v>39.485700000000001</v>
      </c>
      <c r="H65" s="24">
        <f t="shared" si="0"/>
        <v>191.83836173602089</v>
      </c>
    </row>
    <row r="66" spans="5:8" x14ac:dyDescent="0.2">
      <c r="E66" s="6">
        <v>46030</v>
      </c>
      <c r="F66" s="9">
        <v>7436.098</v>
      </c>
      <c r="G66" s="16">
        <v>38.759900000000002</v>
      </c>
      <c r="H66" s="24">
        <f t="shared" si="0"/>
        <v>191.85028857143593</v>
      </c>
    </row>
    <row r="67" spans="5:8" x14ac:dyDescent="0.2">
      <c r="E67" s="6">
        <v>46031</v>
      </c>
      <c r="F67" s="9">
        <v>7638.7790000000005</v>
      </c>
      <c r="G67" s="16">
        <v>39.816899999999997</v>
      </c>
      <c r="H67" s="24">
        <f t="shared" si="0"/>
        <v>191.84765765290621</v>
      </c>
    </row>
    <row r="68" spans="5:8" x14ac:dyDescent="0.2">
      <c r="E68" s="6">
        <v>46034</v>
      </c>
      <c r="F68" s="9">
        <v>7674.8360000000002</v>
      </c>
      <c r="G68" s="16">
        <v>39.9878</v>
      </c>
      <c r="H68" s="24">
        <f t="shared" si="0"/>
        <v>191.92943847873602</v>
      </c>
    </row>
    <row r="69" spans="5:8" x14ac:dyDescent="0.2">
      <c r="E69" s="6">
        <v>46035</v>
      </c>
      <c r="F69" s="9">
        <v>7747.9930000000004</v>
      </c>
      <c r="G69" s="16">
        <v>40.368699999999997</v>
      </c>
      <c r="H69" s="24">
        <f t="shared" si="0"/>
        <v>191.93070373829232</v>
      </c>
    </row>
    <row r="70" spans="5:8" x14ac:dyDescent="0.2">
      <c r="E70" s="6">
        <v>46036</v>
      </c>
      <c r="F70" s="9">
        <v>7701.4750000000004</v>
      </c>
      <c r="G70" s="16">
        <v>40.112400000000001</v>
      </c>
      <c r="H70" s="24">
        <f t="shared" ref="H70:H133" si="2">F70/G70</f>
        <v>191.99736241162336</v>
      </c>
    </row>
    <row r="71" spans="5:8" x14ac:dyDescent="0.2">
      <c r="E71" s="6">
        <v>46037</v>
      </c>
      <c r="F71" s="9">
        <v>7837.2979999999998</v>
      </c>
      <c r="G71" s="16">
        <v>40.766800000000003</v>
      </c>
      <c r="H71" s="24">
        <f t="shared" si="2"/>
        <v>192.24707359910514</v>
      </c>
    </row>
    <row r="72" spans="5:8" x14ac:dyDescent="0.2">
      <c r="E72" s="6">
        <v>46038</v>
      </c>
      <c r="F72" s="9">
        <v>7927.4080000000004</v>
      </c>
      <c r="G72" s="16">
        <v>41.233699999999999</v>
      </c>
      <c r="H72" s="24">
        <f t="shared" si="2"/>
        <v>192.25555795380964</v>
      </c>
    </row>
    <row r="73" spans="5:8" x14ac:dyDescent="0.2">
      <c r="E73" s="6">
        <v>46042</v>
      </c>
      <c r="F73" s="9">
        <v>7794.19</v>
      </c>
      <c r="G73" s="16">
        <v>40.529600000000002</v>
      </c>
      <c r="H73" s="24">
        <f t="shared" si="2"/>
        <v>192.30858434329477</v>
      </c>
    </row>
    <row r="74" spans="5:8" x14ac:dyDescent="0.2">
      <c r="E74" s="6">
        <v>46043</v>
      </c>
      <c r="F74" s="9">
        <v>8042.07</v>
      </c>
      <c r="G74" s="16">
        <v>41.816200000000002</v>
      </c>
      <c r="H74" s="24">
        <f t="shared" si="2"/>
        <v>192.31948383640787</v>
      </c>
    </row>
    <row r="75" spans="5:8" x14ac:dyDescent="0.2">
      <c r="E75" s="6">
        <v>46044</v>
      </c>
      <c r="F75" s="9">
        <v>8055.1729999999998</v>
      </c>
      <c r="G75" s="16">
        <v>41.886499999999998</v>
      </c>
      <c r="H75" s="24">
        <f t="shared" si="2"/>
        <v>192.30952693588625</v>
      </c>
    </row>
    <row r="76" spans="5:8" x14ac:dyDescent="0.2">
      <c r="E76" s="6">
        <v>46045</v>
      </c>
      <c r="F76" s="9">
        <v>7957.9260000000004</v>
      </c>
      <c r="G76" s="16">
        <v>41.3795</v>
      </c>
      <c r="H76" s="24">
        <f t="shared" si="2"/>
        <v>192.31566355320874</v>
      </c>
    </row>
    <row r="77" spans="5:8" x14ac:dyDescent="0.2">
      <c r="E77" s="6">
        <v>46048</v>
      </c>
      <c r="F77" s="9">
        <v>7927.0410000000002</v>
      </c>
      <c r="G77" s="16">
        <v>41.217599999999997</v>
      </c>
      <c r="H77" s="24">
        <f t="shared" si="2"/>
        <v>192.3217509025271</v>
      </c>
    </row>
    <row r="78" spans="5:8" x14ac:dyDescent="0.2">
      <c r="E78" s="6">
        <v>46049</v>
      </c>
      <c r="F78" s="9">
        <v>8117.1809999999996</v>
      </c>
      <c r="G78" s="16">
        <v>42.263399999999997</v>
      </c>
      <c r="H78" s="24">
        <f t="shared" si="2"/>
        <v>192.06171297150726</v>
      </c>
    </row>
    <row r="79" spans="5:8" x14ac:dyDescent="0.2">
      <c r="E79" s="6">
        <v>46050</v>
      </c>
      <c r="F79" s="9">
        <v>8306.7420000000002</v>
      </c>
      <c r="G79" s="16">
        <v>43.209699999999998</v>
      </c>
      <c r="H79" s="24">
        <f t="shared" si="2"/>
        <v>192.242528876618</v>
      </c>
    </row>
    <row r="80" spans="5:8" x14ac:dyDescent="0.2">
      <c r="E80" s="6">
        <v>46051</v>
      </c>
      <c r="F80" s="9">
        <v>8320.39</v>
      </c>
      <c r="G80" s="16">
        <v>43.2759</v>
      </c>
      <c r="H80" s="24">
        <f t="shared" si="2"/>
        <v>192.26382351378018</v>
      </c>
    </row>
    <row r="81" spans="5:8" x14ac:dyDescent="0.2">
      <c r="E81" s="6">
        <v>46052</v>
      </c>
      <c r="F81" s="9">
        <v>7998.473</v>
      </c>
      <c r="G81" s="16">
        <v>41.605600000000003</v>
      </c>
      <c r="H81" s="24">
        <f t="shared" si="2"/>
        <v>192.24510642798083</v>
      </c>
    </row>
    <row r="82" spans="5:8" x14ac:dyDescent="0.2">
      <c r="E82" s="6">
        <v>46055</v>
      </c>
      <c r="F82" s="9">
        <v>8134.4880000000003</v>
      </c>
      <c r="G82" s="16">
        <v>42.794400000000003</v>
      </c>
      <c r="H82" s="24">
        <f t="shared" si="2"/>
        <v>190.08300151421682</v>
      </c>
    </row>
    <row r="83" spans="5:8" x14ac:dyDescent="0.2">
      <c r="E83" s="6">
        <v>46056</v>
      </c>
      <c r="F83" s="9">
        <v>7966.3339999999998</v>
      </c>
      <c r="G83" s="16">
        <v>42.222499999999997</v>
      </c>
      <c r="H83" s="24">
        <f t="shared" si="2"/>
        <v>188.6750902954586</v>
      </c>
    </row>
    <row r="84" spans="5:8" x14ac:dyDescent="0.2">
      <c r="E84" s="6">
        <v>46057</v>
      </c>
      <c r="F84" s="9">
        <v>7619.1559999999999</v>
      </c>
      <c r="G84" s="16">
        <v>40.834800000000001</v>
      </c>
      <c r="H84" s="24">
        <f t="shared" si="2"/>
        <v>186.58487368616963</v>
      </c>
    </row>
    <row r="85" spans="5:8" x14ac:dyDescent="0.2">
      <c r="E85" s="6">
        <v>46058</v>
      </c>
      <c r="F85" s="9">
        <v>7614.6379999999999</v>
      </c>
      <c r="G85" s="16">
        <v>41.340600000000002</v>
      </c>
      <c r="H85" s="24">
        <f t="shared" si="2"/>
        <v>184.19273063284035</v>
      </c>
    </row>
    <row r="86" spans="5:8" x14ac:dyDescent="0.2">
      <c r="E86" s="6">
        <v>46059</v>
      </c>
      <c r="F86" s="9">
        <v>8048.625</v>
      </c>
      <c r="G86" s="16">
        <v>43.693800000000003</v>
      </c>
      <c r="H86" s="24">
        <f t="shared" si="2"/>
        <v>184.20519616055367</v>
      </c>
    </row>
    <row r="87" spans="5:8" x14ac:dyDescent="0.2">
      <c r="E87" s="6">
        <v>46062</v>
      </c>
      <c r="F87" s="9">
        <v>8162.58</v>
      </c>
      <c r="G87" s="16">
        <v>43.856499999999997</v>
      </c>
      <c r="H87" s="24">
        <f t="shared" si="2"/>
        <v>186.12018742945745</v>
      </c>
    </row>
    <row r="88" spans="5:8" x14ac:dyDescent="0.2">
      <c r="E88" s="6">
        <v>46063</v>
      </c>
      <c r="F88" s="9">
        <v>8107.1319999999996</v>
      </c>
      <c r="G88" s="16">
        <v>43.8386</v>
      </c>
      <c r="H88" s="24">
        <f t="shared" si="2"/>
        <v>184.93136185918345</v>
      </c>
    </row>
    <row r="89" spans="5:8" x14ac:dyDescent="0.2">
      <c r="E89" s="6">
        <v>46064</v>
      </c>
      <c r="F89" s="9">
        <v>8291.8610000000008</v>
      </c>
      <c r="G89" s="16">
        <v>44.973599999999998</v>
      </c>
      <c r="H89" s="24">
        <f t="shared" si="2"/>
        <v>184.37174253339739</v>
      </c>
    </row>
    <row r="90" spans="5:8" x14ac:dyDescent="0.2">
      <c r="E90" s="6">
        <v>46065</v>
      </c>
      <c r="F90" s="9">
        <v>8084.7</v>
      </c>
      <c r="G90" s="16">
        <v>43.838500000000003</v>
      </c>
      <c r="H90" s="24">
        <f t="shared" si="2"/>
        <v>184.42008736612792</v>
      </c>
    </row>
    <row r="91" spans="5:8" x14ac:dyDescent="0.2">
      <c r="E91" s="6">
        <v>46066</v>
      </c>
      <c r="F91" s="9">
        <v>8137.8590000000004</v>
      </c>
      <c r="G91" s="16">
        <v>44.125</v>
      </c>
      <c r="H91" s="24">
        <f t="shared" si="2"/>
        <v>184.42739943342778</v>
      </c>
    </row>
    <row r="92" spans="5:8" x14ac:dyDescent="0.2">
      <c r="E92" s="6">
        <v>46070</v>
      </c>
      <c r="F92" s="9">
        <v>8136.0450000000001</v>
      </c>
      <c r="G92" s="16">
        <v>44.109699999999997</v>
      </c>
      <c r="H92" s="24">
        <f t="shared" si="2"/>
        <v>184.45024563758088</v>
      </c>
    </row>
    <row r="93" spans="5:8" x14ac:dyDescent="0.2">
      <c r="E93" s="6">
        <v>46071</v>
      </c>
      <c r="F93" s="9">
        <v>8214.3539999999994</v>
      </c>
      <c r="G93" s="16">
        <v>44.505800000000001</v>
      </c>
      <c r="H93" s="24">
        <f t="shared" si="2"/>
        <v>184.56816864318807</v>
      </c>
    </row>
    <row r="94" spans="5:8" x14ac:dyDescent="0.2">
      <c r="E94" s="6">
        <v>46072</v>
      </c>
      <c r="F94" s="9">
        <v>8173.3040000000001</v>
      </c>
      <c r="G94" s="16">
        <v>44.235199999999999</v>
      </c>
      <c r="H94" s="24">
        <f t="shared" si="2"/>
        <v>184.76923355156075</v>
      </c>
    </row>
    <row r="95" spans="5:8" x14ac:dyDescent="0.2">
      <c r="E95" s="6">
        <v>46073</v>
      </c>
      <c r="F95" s="9">
        <v>8260.4150000000009</v>
      </c>
      <c r="G95" s="16">
        <v>44.7057</v>
      </c>
      <c r="H95" s="24">
        <f t="shared" si="2"/>
        <v>184.77319446960905</v>
      </c>
    </row>
    <row r="96" spans="5:8" x14ac:dyDescent="0.2">
      <c r="E96" s="6">
        <v>46076</v>
      </c>
      <c r="F96" s="9">
        <v>8213.4570000000003</v>
      </c>
      <c r="G96" s="16">
        <v>44.447899999999997</v>
      </c>
      <c r="H96" s="24">
        <f t="shared" si="2"/>
        <v>184.78841520071816</v>
      </c>
    </row>
    <row r="97" spans="5:8" x14ac:dyDescent="0.2">
      <c r="E97" s="6">
        <v>46077</v>
      </c>
      <c r="F97" s="9">
        <v>8332.3439999999991</v>
      </c>
      <c r="G97" s="16">
        <v>45.0901</v>
      </c>
      <c r="H97" s="24">
        <f t="shared" si="2"/>
        <v>184.7932029425528</v>
      </c>
    </row>
    <row r="98" spans="5:8" x14ac:dyDescent="0.2">
      <c r="E98" s="6">
        <v>46078</v>
      </c>
      <c r="F98" s="9">
        <v>8467.43</v>
      </c>
      <c r="G98" s="16">
        <v>45.810899999999997</v>
      </c>
      <c r="H98" s="24">
        <f t="shared" si="2"/>
        <v>184.83439530766697</v>
      </c>
    </row>
    <row r="99" spans="5:8" x14ac:dyDescent="0.2">
      <c r="E99" s="6">
        <v>46079</v>
      </c>
      <c r="F99" s="9">
        <v>8197.26</v>
      </c>
      <c r="G99" s="16">
        <v>44.339599999999997</v>
      </c>
      <c r="H99" s="24">
        <f t="shared" si="2"/>
        <v>184.87446887206923</v>
      </c>
    </row>
    <row r="100" spans="5:8" x14ac:dyDescent="0.2">
      <c r="E100" s="6">
        <v>46080</v>
      </c>
      <c r="F100" s="9">
        <v>8098.3710000000001</v>
      </c>
      <c r="G100" s="16">
        <v>43.798299999999998</v>
      </c>
      <c r="H100" s="24">
        <f t="shared" si="2"/>
        <v>184.90149161040497</v>
      </c>
    </row>
    <row r="101" spans="5:8" x14ac:dyDescent="0.2">
      <c r="E101" s="6">
        <v>46083</v>
      </c>
      <c r="F101" s="9">
        <v>8137.357</v>
      </c>
      <c r="G101" s="16">
        <v>44.0306</v>
      </c>
      <c r="H101" s="24">
        <f t="shared" si="2"/>
        <v>184.81140388729656</v>
      </c>
    </row>
    <row r="102" spans="5:8" x14ac:dyDescent="0.2">
      <c r="E102" s="6">
        <v>46084</v>
      </c>
      <c r="F102" s="9">
        <v>7764.8819999999996</v>
      </c>
      <c r="G102" s="16">
        <v>42.015500000000003</v>
      </c>
      <c r="H102" s="24">
        <f t="shared" si="2"/>
        <v>184.80993918910875</v>
      </c>
    </row>
    <row r="103" spans="5:8" x14ac:dyDescent="0.2">
      <c r="E103" s="6">
        <v>46085</v>
      </c>
      <c r="F103" s="9">
        <v>7914.4780000000001</v>
      </c>
      <c r="G103" s="16">
        <v>42.970599999999997</v>
      </c>
      <c r="H103" s="24">
        <f t="shared" si="2"/>
        <v>184.18355806062752</v>
      </c>
    </row>
    <row r="104" spans="5:8" x14ac:dyDescent="0.2">
      <c r="E104" s="6">
        <v>46086</v>
      </c>
      <c r="F104" s="9">
        <v>7821.7610000000004</v>
      </c>
      <c r="G104" s="16">
        <v>42.677999999999997</v>
      </c>
      <c r="H104" s="24">
        <f t="shared" si="2"/>
        <v>183.2738413233985</v>
      </c>
    </row>
    <row r="105" spans="5:8" x14ac:dyDescent="0.2">
      <c r="E105" s="6">
        <v>46087</v>
      </c>
      <c r="F105" s="9">
        <v>7514.7359999999999</v>
      </c>
      <c r="G105" s="16">
        <v>41.002800000000001</v>
      </c>
      <c r="H105" s="24">
        <f t="shared" si="2"/>
        <v>183.27372764786796</v>
      </c>
    </row>
    <row r="106" spans="5:8" x14ac:dyDescent="0.2">
      <c r="E106" s="6">
        <v>46090</v>
      </c>
      <c r="F106" s="9">
        <v>7810.3990000000003</v>
      </c>
      <c r="G106" s="16">
        <v>42.614100000000001</v>
      </c>
      <c r="H106" s="24">
        <f t="shared" si="2"/>
        <v>183.28203575811762</v>
      </c>
    </row>
    <row r="107" spans="5:8" x14ac:dyDescent="0.2">
      <c r="E107" s="6">
        <v>46091</v>
      </c>
      <c r="F107" s="9">
        <v>7865.1189999999997</v>
      </c>
      <c r="G107" s="16">
        <v>42.896799999999999</v>
      </c>
      <c r="H107" s="24">
        <f t="shared" si="2"/>
        <v>183.34978366684695</v>
      </c>
    </row>
    <row r="108" spans="5:8" x14ac:dyDescent="0.2">
      <c r="E108" s="6">
        <v>46092</v>
      </c>
      <c r="F108" s="9">
        <v>7914.5649999999996</v>
      </c>
      <c r="G108" s="16">
        <v>43.165500000000002</v>
      </c>
      <c r="H108" s="24">
        <f t="shared" si="2"/>
        <v>183.35395165120292</v>
      </c>
    </row>
    <row r="109" spans="5:8" x14ac:dyDescent="0.2">
      <c r="E109" s="6">
        <v>46093</v>
      </c>
      <c r="F109" s="9">
        <v>7643.1729999999998</v>
      </c>
      <c r="G109" s="16">
        <v>41.673999999999999</v>
      </c>
      <c r="H109" s="24">
        <f t="shared" si="2"/>
        <v>183.40387291836637</v>
      </c>
    </row>
    <row r="110" spans="5:8" x14ac:dyDescent="0.2">
      <c r="E110" s="6">
        <v>46094</v>
      </c>
      <c r="F110" s="9">
        <v>7646.6360000000004</v>
      </c>
      <c r="G110" s="16">
        <v>41.690100000000001</v>
      </c>
      <c r="H110" s="24">
        <f t="shared" si="2"/>
        <v>183.41611077929772</v>
      </c>
    </row>
    <row r="111" spans="5:8" x14ac:dyDescent="0.2">
      <c r="E111" s="6">
        <v>46097</v>
      </c>
      <c r="F111" s="9">
        <v>7796.2439999999997</v>
      </c>
      <c r="G111" s="16">
        <v>42.505800000000001</v>
      </c>
      <c r="H111" s="24">
        <f t="shared" si="2"/>
        <v>183.41600440410485</v>
      </c>
    </row>
    <row r="112" spans="5:8" x14ac:dyDescent="0.2">
      <c r="E112" s="6">
        <v>46098</v>
      </c>
      <c r="F112" s="9">
        <v>7836.8270000000002</v>
      </c>
      <c r="G112" s="16">
        <v>42.718699999999998</v>
      </c>
      <c r="H112" s="24">
        <f t="shared" si="2"/>
        <v>183.45190747845791</v>
      </c>
    </row>
    <row r="113" spans="5:8" x14ac:dyDescent="0.2">
      <c r="E113" s="6">
        <v>46099</v>
      </c>
      <c r="F113" s="9">
        <v>7795.1279999999997</v>
      </c>
      <c r="G113" s="16">
        <v>22.3278</v>
      </c>
      <c r="H113" s="24">
        <f t="shared" si="2"/>
        <v>349.12208099320128</v>
      </c>
    </row>
    <row r="114" spans="5:8" x14ac:dyDescent="0.2">
      <c r="E114" s="6">
        <v>46100</v>
      </c>
      <c r="F114" s="9">
        <v>7863.3040000000001</v>
      </c>
      <c r="G114" s="16">
        <v>21.596900000000002</v>
      </c>
      <c r="H114" s="24">
        <f t="shared" si="2"/>
        <v>364.09410609856042</v>
      </c>
    </row>
    <row r="115" spans="5:8" x14ac:dyDescent="0.2">
      <c r="E115" s="6">
        <v>46101</v>
      </c>
      <c r="F115" s="9">
        <v>7670.6080000000002</v>
      </c>
      <c r="G115" s="16">
        <v>21.0672</v>
      </c>
      <c r="H115" s="24">
        <f t="shared" si="2"/>
        <v>364.10192147034252</v>
      </c>
    </row>
    <row r="116" spans="5:8" x14ac:dyDescent="0.2">
      <c r="E116" s="6">
        <v>46104</v>
      </c>
      <c r="F116" s="9">
        <v>7773.1319999999996</v>
      </c>
      <c r="G116" s="16">
        <v>19.657399999999999</v>
      </c>
      <c r="H116" s="24">
        <f t="shared" si="2"/>
        <v>395.43032140567931</v>
      </c>
    </row>
    <row r="117" spans="5:8" x14ac:dyDescent="0.2">
      <c r="E117" s="6">
        <v>46105</v>
      </c>
      <c r="F117" s="9">
        <v>7872.7089999999998</v>
      </c>
      <c r="G117" s="16">
        <v>19.909500000000001</v>
      </c>
      <c r="H117" s="24">
        <f t="shared" si="2"/>
        <v>395.42474698008488</v>
      </c>
    </row>
    <row r="118" spans="5:8" x14ac:dyDescent="0.2">
      <c r="E118" s="6">
        <v>46106</v>
      </c>
      <c r="F118" s="9">
        <v>7967.7449999999999</v>
      </c>
      <c r="G118" s="16">
        <v>20.1493</v>
      </c>
      <c r="H118" s="24">
        <f t="shared" si="2"/>
        <v>395.43532529666044</v>
      </c>
    </row>
    <row r="119" spans="5:8" x14ac:dyDescent="0.2">
      <c r="E119" s="6">
        <v>46107</v>
      </c>
      <c r="F119" s="9">
        <v>7585.8710000000001</v>
      </c>
      <c r="G119" s="16">
        <v>19.1844</v>
      </c>
      <c r="H119" s="24">
        <f t="shared" si="2"/>
        <v>395.41872563124207</v>
      </c>
    </row>
    <row r="120" spans="5:8" x14ac:dyDescent="0.2">
      <c r="E120" s="6">
        <v>46108</v>
      </c>
      <c r="F120" s="9">
        <v>7457.6679999999997</v>
      </c>
      <c r="G120" s="16">
        <v>18.8568</v>
      </c>
      <c r="H120" s="24">
        <f t="shared" si="2"/>
        <v>395.489584659115</v>
      </c>
    </row>
    <row r="121" spans="5:8" x14ac:dyDescent="0.2">
      <c r="E121" s="6">
        <v>46111</v>
      </c>
      <c r="F121" s="9">
        <v>7142.3339999999998</v>
      </c>
      <c r="G121" s="16">
        <v>18.064800000000002</v>
      </c>
      <c r="H121" s="24">
        <f t="shared" si="2"/>
        <v>395.37299056729103</v>
      </c>
    </row>
    <row r="122" spans="5:8" x14ac:dyDescent="0.2">
      <c r="E122" s="6">
        <v>46112</v>
      </c>
      <c r="F122" s="9">
        <v>7588.1959999999999</v>
      </c>
      <c r="G122" s="16">
        <v>19.192299999999999</v>
      </c>
      <c r="H122" s="24">
        <f t="shared" si="2"/>
        <v>395.37710435956086</v>
      </c>
    </row>
    <row r="123" spans="5:8" x14ac:dyDescent="0.2">
      <c r="E123" s="6">
        <v>46113</v>
      </c>
      <c r="F123" s="9">
        <v>7802.3109999999997</v>
      </c>
      <c r="G123" s="16">
        <v>19.729399999999998</v>
      </c>
      <c r="H123" s="24">
        <f t="shared" si="2"/>
        <v>395.4662077914179</v>
      </c>
    </row>
    <row r="124" spans="5:8" x14ac:dyDescent="0.2">
      <c r="E124" s="6">
        <v>46114</v>
      </c>
      <c r="F124" s="9">
        <v>7833.3869999999997</v>
      </c>
      <c r="G124" s="16">
        <v>19.8094</v>
      </c>
      <c r="H124" s="24">
        <f t="shared" si="2"/>
        <v>395.43787292901351</v>
      </c>
    </row>
    <row r="125" spans="5:8" x14ac:dyDescent="0.2">
      <c r="E125" s="6">
        <v>46118</v>
      </c>
      <c r="F125" s="9">
        <v>7916.1040000000003</v>
      </c>
      <c r="G125" s="16">
        <v>19.964300000000001</v>
      </c>
      <c r="H125" s="24">
        <f t="shared" si="2"/>
        <v>396.51297566155586</v>
      </c>
    </row>
    <row r="126" spans="5:8" x14ac:dyDescent="0.2">
      <c r="E126" s="6">
        <v>46119</v>
      </c>
      <c r="F126" s="9">
        <v>8003.8680000000004</v>
      </c>
      <c r="G126" s="16">
        <v>20.178999999999998</v>
      </c>
      <c r="H126" s="24">
        <f t="shared" si="2"/>
        <v>396.64344120124889</v>
      </c>
    </row>
    <row r="127" spans="5:8" x14ac:dyDescent="0.2">
      <c r="E127" s="6">
        <v>46120</v>
      </c>
      <c r="F127" s="9">
        <v>8510.9169999999995</v>
      </c>
      <c r="G127" s="16">
        <v>21.468900000000001</v>
      </c>
      <c r="H127" s="24">
        <f t="shared" si="2"/>
        <v>396.43004532137178</v>
      </c>
    </row>
    <row r="128" spans="5:8" x14ac:dyDescent="0.2">
      <c r="E128" s="6">
        <v>46121</v>
      </c>
      <c r="F128" s="9">
        <v>8689.5329999999994</v>
      </c>
      <c r="G128" s="16">
        <v>21.901299999999999</v>
      </c>
      <c r="H128" s="24">
        <f t="shared" si="2"/>
        <v>396.75877687625848</v>
      </c>
    </row>
    <row r="129" spans="5:8" x14ac:dyDescent="0.2">
      <c r="E129" s="6">
        <v>46122</v>
      </c>
      <c r="F129" s="9">
        <v>8889.8279999999995</v>
      </c>
      <c r="G129" s="16">
        <v>22.293600000000001</v>
      </c>
      <c r="H129" s="24">
        <f t="shared" si="2"/>
        <v>398.76143826030784</v>
      </c>
    </row>
    <row r="130" spans="5:8" x14ac:dyDescent="0.2">
      <c r="E130" s="6">
        <v>46125</v>
      </c>
      <c r="F130" s="9">
        <v>9039.5239999999994</v>
      </c>
      <c r="G130" s="16">
        <v>22.660599999999999</v>
      </c>
      <c r="H130" s="24">
        <f t="shared" si="2"/>
        <v>398.90929631165989</v>
      </c>
    </row>
    <row r="131" spans="5:8" x14ac:dyDescent="0.2">
      <c r="E131" s="6">
        <v>46126</v>
      </c>
      <c r="F131" s="9">
        <v>9224.1209999999992</v>
      </c>
      <c r="G131" s="16">
        <v>23.105399999999999</v>
      </c>
      <c r="H131" s="24">
        <f t="shared" si="2"/>
        <v>399.21927341660387</v>
      </c>
    </row>
    <row r="132" spans="5:8" x14ac:dyDescent="0.2">
      <c r="E132" s="6">
        <v>46127</v>
      </c>
      <c r="F132" s="9">
        <v>9239.2849999999999</v>
      </c>
      <c r="G132" s="16">
        <v>23.0762</v>
      </c>
      <c r="H132" s="24">
        <f t="shared" si="2"/>
        <v>400.38156195560794</v>
      </c>
    </row>
    <row r="133" spans="5:8" x14ac:dyDescent="0.2">
      <c r="E133" s="6">
        <v>46128</v>
      </c>
      <c r="F133" s="9">
        <v>9329.3459999999995</v>
      </c>
      <c r="G133" s="16">
        <v>23.271799999999999</v>
      </c>
      <c r="H133" s="24">
        <f t="shared" si="2"/>
        <v>400.88630875136431</v>
      </c>
    </row>
    <row r="134" spans="5:8" x14ac:dyDescent="0.2">
      <c r="E134" s="6">
        <v>46129</v>
      </c>
      <c r="F134" s="9">
        <v>9555.8829999999998</v>
      </c>
      <c r="G134" s="16">
        <v>23.824000000000002</v>
      </c>
      <c r="H134" s="24">
        <f t="shared" ref="H134:H197" si="3">F134/G134</f>
        <v>401.10321524513091</v>
      </c>
    </row>
    <row r="135" spans="5:8" x14ac:dyDescent="0.2">
      <c r="E135" s="6">
        <v>46132</v>
      </c>
      <c r="F135" s="9">
        <v>9599.2129999999997</v>
      </c>
      <c r="G135" s="16">
        <v>23.918800000000001</v>
      </c>
      <c r="H135" s="24">
        <f t="shared" si="3"/>
        <v>401.32502466678926</v>
      </c>
    </row>
    <row r="136" spans="5:8" x14ac:dyDescent="0.2">
      <c r="E136" s="6">
        <v>46133</v>
      </c>
      <c r="F136" s="9">
        <v>9647.2139999999999</v>
      </c>
      <c r="G136" s="16">
        <v>24.0199</v>
      </c>
      <c r="H136" s="24">
        <f t="shared" si="3"/>
        <v>401.63422828571311</v>
      </c>
    </row>
    <row r="137" spans="5:8" x14ac:dyDescent="0.2">
      <c r="E137" s="6">
        <v>46134</v>
      </c>
      <c r="F137" s="9">
        <v>9909.2669999999998</v>
      </c>
      <c r="G137" s="16">
        <v>24.5932</v>
      </c>
      <c r="H137" s="24">
        <f t="shared" si="3"/>
        <v>402.92710993282697</v>
      </c>
    </row>
    <row r="138" spans="5:8" x14ac:dyDescent="0.2">
      <c r="E138" s="6">
        <v>46135</v>
      </c>
      <c r="F138" s="9">
        <v>10078.57</v>
      </c>
      <c r="G138" s="16">
        <v>24.758600000000001</v>
      </c>
      <c r="H138" s="24">
        <f t="shared" si="3"/>
        <v>407.07350173273124</v>
      </c>
    </row>
    <row r="139" spans="5:8" x14ac:dyDescent="0.2">
      <c r="E139" s="6">
        <v>46136</v>
      </c>
      <c r="F139" s="9">
        <v>10513.66</v>
      </c>
      <c r="G139" s="16">
        <v>25.7653</v>
      </c>
      <c r="H139" s="24">
        <f t="shared" si="3"/>
        <v>408.05501973584626</v>
      </c>
    </row>
    <row r="140" spans="5:8" x14ac:dyDescent="0.2">
      <c r="E140" s="6">
        <v>46139</v>
      </c>
      <c r="F140" s="9">
        <v>10408.040000000001</v>
      </c>
      <c r="G140" s="16">
        <v>25.506399999999999</v>
      </c>
      <c r="H140" s="24">
        <f t="shared" si="3"/>
        <v>408.05601731330182</v>
      </c>
    </row>
    <row r="141" spans="5:8" x14ac:dyDescent="0.2">
      <c r="E141" s="6">
        <v>46140</v>
      </c>
      <c r="F141" s="9">
        <v>10035.58</v>
      </c>
      <c r="G141" s="16">
        <v>24.526900000000001</v>
      </c>
      <c r="H141" s="24">
        <f t="shared" si="3"/>
        <v>409.16626234868653</v>
      </c>
    </row>
    <row r="142" spans="5:8" x14ac:dyDescent="0.2">
      <c r="E142" s="6">
        <v>46141</v>
      </c>
      <c r="F142" s="9">
        <v>10271.299999999999</v>
      </c>
      <c r="G142" s="16">
        <v>25.191199999999998</v>
      </c>
      <c r="H142" s="24">
        <f t="shared" si="3"/>
        <v>407.73365302169009</v>
      </c>
    </row>
    <row r="143" spans="5:8" x14ac:dyDescent="0.2">
      <c r="E143" s="6">
        <v>46142</v>
      </c>
      <c r="F143" s="9">
        <v>10503.7</v>
      </c>
      <c r="G143" s="16">
        <v>25.758099999999999</v>
      </c>
      <c r="H143" s="24">
        <f t="shared" si="3"/>
        <v>407.78240631102454</v>
      </c>
    </row>
    <row r="144" spans="5:8" x14ac:dyDescent="0.2">
      <c r="E144" s="6">
        <v>46143</v>
      </c>
      <c r="F144" s="9">
        <v>10595.34</v>
      </c>
      <c r="G144" s="16">
        <v>25.939800000000002</v>
      </c>
      <c r="H144" s="24">
        <f t="shared" si="3"/>
        <v>408.45881618208313</v>
      </c>
    </row>
    <row r="145" spans="5:8" x14ac:dyDescent="0.2">
      <c r="E145" s="6">
        <v>46146</v>
      </c>
      <c r="F145" s="9">
        <v>10534.66</v>
      </c>
      <c r="G145" s="16">
        <v>25.768699999999999</v>
      </c>
      <c r="H145" s="24">
        <f t="shared" si="3"/>
        <v>408.81612188430148</v>
      </c>
    </row>
    <row r="146" spans="5:8" x14ac:dyDescent="0.2">
      <c r="E146" s="6">
        <v>46147</v>
      </c>
      <c r="F146" s="9">
        <v>10980.58</v>
      </c>
      <c r="G146" s="16">
        <v>26.8565</v>
      </c>
      <c r="H146" s="24">
        <f t="shared" si="3"/>
        <v>408.8611695492711</v>
      </c>
    </row>
    <row r="147" spans="5:8" x14ac:dyDescent="0.2">
      <c r="E147" s="6">
        <v>46148</v>
      </c>
      <c r="F147" s="9">
        <v>11472.75</v>
      </c>
      <c r="G147" s="16">
        <v>28.031500000000001</v>
      </c>
      <c r="H147" s="24">
        <f t="shared" si="3"/>
        <v>409.28063071901255</v>
      </c>
    </row>
    <row r="148" spans="5:8" x14ac:dyDescent="0.2">
      <c r="E148" s="6">
        <v>46149</v>
      </c>
      <c r="F148" s="9">
        <v>11160.99</v>
      </c>
      <c r="G148" s="16">
        <v>27.256799999999998</v>
      </c>
      <c r="H148" s="24">
        <f t="shared" si="3"/>
        <v>409.4754336532535</v>
      </c>
    </row>
    <row r="149" spans="5:8" x14ac:dyDescent="0.2">
      <c r="E149" s="6">
        <v>46150</v>
      </c>
      <c r="F149" s="9">
        <v>11775.5</v>
      </c>
      <c r="G149" s="16">
        <v>28.717600000000001</v>
      </c>
      <c r="H149" s="24">
        <f t="shared" si="3"/>
        <v>410.04471125720812</v>
      </c>
    </row>
    <row r="150" spans="5:8" x14ac:dyDescent="0.2">
      <c r="E150" s="6">
        <v>46153</v>
      </c>
      <c r="F150" s="9">
        <v>12081.04</v>
      </c>
      <c r="G150" s="16">
        <v>29.445</v>
      </c>
      <c r="H150" s="24">
        <f t="shared" si="3"/>
        <v>410.29173034471052</v>
      </c>
    </row>
    <row r="151" spans="5:8" x14ac:dyDescent="0.2">
      <c r="E151" s="6">
        <v>46154</v>
      </c>
      <c r="F151" s="9">
        <v>11717.26</v>
      </c>
      <c r="G151" s="16">
        <v>28.553999999999998</v>
      </c>
      <c r="H151" s="24">
        <f t="shared" si="3"/>
        <v>410.35441619387831</v>
      </c>
    </row>
    <row r="152" spans="5:8" x14ac:dyDescent="0.2">
      <c r="E152" s="6">
        <v>46155</v>
      </c>
      <c r="F152" s="9">
        <v>12017.98</v>
      </c>
      <c r="G152" s="16">
        <v>29.271100000000001</v>
      </c>
      <c r="H152" s="24">
        <f t="shared" si="3"/>
        <v>410.57493568741864</v>
      </c>
    </row>
    <row r="153" spans="5:8" x14ac:dyDescent="0.2">
      <c r="E153" s="6">
        <v>46156</v>
      </c>
      <c r="F153" s="9">
        <v>12073.78</v>
      </c>
      <c r="G153" s="16">
        <v>29.310700000000001</v>
      </c>
      <c r="H153" s="24">
        <f t="shared" si="3"/>
        <v>411.92397315656058</v>
      </c>
    </row>
    <row r="154" spans="5:8" x14ac:dyDescent="0.2">
      <c r="E154" s="6">
        <v>46157</v>
      </c>
      <c r="F154" s="9">
        <v>11588.46</v>
      </c>
      <c r="G154" s="16">
        <v>28.093499999999999</v>
      </c>
      <c r="H154" s="24">
        <f t="shared" si="3"/>
        <v>412.49612899781084</v>
      </c>
    </row>
    <row r="155" spans="5:8" x14ac:dyDescent="0.2">
      <c r="E155" s="6">
        <v>46160</v>
      </c>
      <c r="F155" s="9">
        <v>11302.52</v>
      </c>
      <c r="G155" s="16">
        <v>27.3644</v>
      </c>
      <c r="H155" s="24">
        <f t="shared" si="3"/>
        <v>413.03737703000979</v>
      </c>
    </row>
    <row r="156" spans="5:8" x14ac:dyDescent="0.2">
      <c r="E156" s="6">
        <v>46161</v>
      </c>
      <c r="F156" s="9">
        <v>11305.5</v>
      </c>
      <c r="G156" s="16">
        <v>27.365500000000001</v>
      </c>
      <c r="H156" s="24">
        <f t="shared" si="3"/>
        <v>413.12967057060899</v>
      </c>
    </row>
    <row r="157" spans="5:8" x14ac:dyDescent="0.2">
      <c r="E157" s="6">
        <v>46162</v>
      </c>
      <c r="F157" s="9">
        <v>11813.29</v>
      </c>
      <c r="G157" s="16">
        <v>28.466699999999999</v>
      </c>
      <c r="H157" s="24">
        <f t="shared" si="3"/>
        <v>414.98628221746816</v>
      </c>
    </row>
    <row r="158" spans="5:8" x14ac:dyDescent="0.2">
      <c r="E158" s="6">
        <v>46163</v>
      </c>
      <c r="F158" s="9">
        <v>11964.08</v>
      </c>
      <c r="G158" s="16">
        <v>28.755299999999998</v>
      </c>
      <c r="H158" s="24">
        <f t="shared" si="3"/>
        <v>416.06521232607554</v>
      </c>
    </row>
    <row r="159" spans="5:8" x14ac:dyDescent="0.2">
      <c r="E159" s="6">
        <v>46164</v>
      </c>
      <c r="F159" s="9">
        <v>12202.54</v>
      </c>
      <c r="G159" s="16">
        <v>29.319299999999998</v>
      </c>
      <c r="H159" s="24">
        <f t="shared" si="3"/>
        <v>416.19479319083342</v>
      </c>
    </row>
    <row r="160" spans="5:8" x14ac:dyDescent="0.2">
      <c r="E160" s="6">
        <v>46168</v>
      </c>
      <c r="F160" s="9">
        <v>12876.91</v>
      </c>
      <c r="G160" s="16">
        <v>30.826899999999998</v>
      </c>
      <c r="H160" s="24">
        <f t="shared" si="3"/>
        <v>417.7166695321294</v>
      </c>
    </row>
    <row r="161" spans="5:8" x14ac:dyDescent="0.2">
      <c r="E161" s="6">
        <v>46169</v>
      </c>
      <c r="F161" s="9">
        <v>12702.19</v>
      </c>
      <c r="G161" s="16">
        <v>30.476900000000001</v>
      </c>
      <c r="H161" s="24">
        <f t="shared" si="3"/>
        <v>416.78090619452769</v>
      </c>
    </row>
    <row r="162" spans="5:8" x14ac:dyDescent="0.2">
      <c r="E162" s="6">
        <v>46170</v>
      </c>
      <c r="F162" s="9">
        <v>12829.14</v>
      </c>
      <c r="G162" s="16">
        <v>30.747499999999999</v>
      </c>
      <c r="H162" s="24">
        <f t="shared" si="3"/>
        <v>417.24172696967236</v>
      </c>
    </row>
    <row r="163" spans="5:8" x14ac:dyDescent="0.2">
      <c r="E163" s="6">
        <v>46171</v>
      </c>
      <c r="F163" s="9">
        <v>12829.38</v>
      </c>
      <c r="G163" s="16">
        <v>30.726400000000002</v>
      </c>
      <c r="H163" s="24">
        <f t="shared" si="3"/>
        <v>417.53606019579252</v>
      </c>
    </row>
    <row r="164" spans="5:8" x14ac:dyDescent="0.2">
      <c r="E164" s="6">
        <v>46174</v>
      </c>
      <c r="F164" s="9">
        <v>12965.65</v>
      </c>
      <c r="G164" s="16">
        <v>31.0413</v>
      </c>
      <c r="H164" s="24">
        <f t="shared" si="3"/>
        <v>417.69030291901436</v>
      </c>
    </row>
    <row r="165" spans="5:8" x14ac:dyDescent="0.2">
      <c r="E165" s="6">
        <v>46175</v>
      </c>
      <c r="F165" s="9">
        <v>13726.27</v>
      </c>
      <c r="G165" s="16">
        <v>32.8401</v>
      </c>
      <c r="H165" s="24">
        <f t="shared" si="3"/>
        <v>417.97284417526134</v>
      </c>
    </row>
    <row r="166" spans="5:8" x14ac:dyDescent="0.2">
      <c r="E166" s="6">
        <v>46176</v>
      </c>
      <c r="F166" s="9">
        <v>13916.96</v>
      </c>
      <c r="G166" s="16">
        <v>33.383200000000002</v>
      </c>
      <c r="H166" s="24">
        <f t="shared" si="3"/>
        <v>416.88513983081305</v>
      </c>
    </row>
    <row r="167" spans="5:8" x14ac:dyDescent="0.2">
      <c r="E167" s="6">
        <v>46177</v>
      </c>
      <c r="F167" s="9">
        <v>13617.5</v>
      </c>
      <c r="G167" s="16">
        <v>32.630800000000001</v>
      </c>
      <c r="H167" s="24">
        <f t="shared" si="3"/>
        <v>417.32044571386541</v>
      </c>
    </row>
    <row r="168" spans="5:8" x14ac:dyDescent="0.2">
      <c r="E168" s="6">
        <v>46178</v>
      </c>
      <c r="F168" s="9">
        <v>12220.76</v>
      </c>
      <c r="G168" s="16">
        <v>29.197199999999999</v>
      </c>
      <c r="H168" s="24">
        <f t="shared" si="3"/>
        <v>418.55931390681303</v>
      </c>
    </row>
    <row r="169" spans="5:8" x14ac:dyDescent="0.2">
      <c r="E169" s="6">
        <v>46181</v>
      </c>
      <c r="F169" s="9">
        <v>12906.69</v>
      </c>
      <c r="G169" s="16">
        <v>30.7897</v>
      </c>
      <c r="H169" s="24">
        <f t="shared" si="3"/>
        <v>419.18855981058601</v>
      </c>
    </row>
    <row r="170" spans="5:8" x14ac:dyDescent="0.2">
      <c r="E170" s="6">
        <v>46182</v>
      </c>
      <c r="F170" s="9">
        <v>12657.81</v>
      </c>
      <c r="G170" s="16">
        <v>30.2014</v>
      </c>
      <c r="H170" s="24">
        <f t="shared" si="3"/>
        <v>419.11335236114883</v>
      </c>
    </row>
    <row r="171" spans="5:8" x14ac:dyDescent="0.2">
      <c r="E171" s="6">
        <v>46183</v>
      </c>
      <c r="F171" s="9">
        <v>12206.46</v>
      </c>
      <c r="G171" s="16">
        <v>29.08</v>
      </c>
      <c r="H171" s="24">
        <f t="shared" si="3"/>
        <v>419.75447042640991</v>
      </c>
    </row>
    <row r="172" spans="5:8" x14ac:dyDescent="0.2">
      <c r="E172" s="6">
        <v>46184</v>
      </c>
      <c r="F172" s="9">
        <v>13171.44</v>
      </c>
      <c r="G172" s="16">
        <v>31.3489</v>
      </c>
      <c r="H172" s="24">
        <f t="shared" si="3"/>
        <v>420.15636912299954</v>
      </c>
    </row>
    <row r="173" spans="5:8" x14ac:dyDescent="0.2">
      <c r="E173" s="6">
        <v>46185</v>
      </c>
      <c r="F173" s="9">
        <v>13371.47</v>
      </c>
      <c r="G173" s="16">
        <v>31.816700000000001</v>
      </c>
      <c r="H173" s="24">
        <f t="shared" si="3"/>
        <v>420.26577237739923</v>
      </c>
    </row>
    <row r="174" spans="5:8" x14ac:dyDescent="0.2">
      <c r="E174" s="6">
        <v>46188</v>
      </c>
      <c r="F174" s="9">
        <v>14099.62</v>
      </c>
      <c r="G174" s="16">
        <v>33.491</v>
      </c>
      <c r="H174" s="24">
        <f t="shared" si="3"/>
        <v>420.99728285210955</v>
      </c>
    </row>
    <row r="175" spans="5:8" x14ac:dyDescent="0.2">
      <c r="E175" s="6">
        <v>46189</v>
      </c>
      <c r="F175" s="9">
        <v>13294.22</v>
      </c>
      <c r="G175" s="16">
        <v>31.528700000000001</v>
      </c>
      <c r="H175" s="24">
        <f t="shared" si="3"/>
        <v>421.65455600770088</v>
      </c>
    </row>
    <row r="176" spans="5:8" x14ac:dyDescent="0.2">
      <c r="E176" s="6">
        <v>46190</v>
      </c>
      <c r="F176" s="9">
        <v>13477.07</v>
      </c>
      <c r="G176" s="16">
        <v>31.739599999999999</v>
      </c>
      <c r="H176" s="24">
        <f t="shared" si="3"/>
        <v>424.61373174205096</v>
      </c>
    </row>
    <row r="177" spans="5:8" x14ac:dyDescent="0.2">
      <c r="E177" s="6">
        <v>46191</v>
      </c>
      <c r="F177" s="9">
        <v>14341.78</v>
      </c>
      <c r="G177" s="16">
        <v>33.770099999999999</v>
      </c>
      <c r="H177" s="24">
        <f t="shared" si="3"/>
        <v>424.68870391263277</v>
      </c>
    </row>
    <row r="178" spans="5:8" x14ac:dyDescent="0.2">
      <c r="E178" s="6">
        <v>46195</v>
      </c>
      <c r="F178" s="9">
        <v>14634.72</v>
      </c>
      <c r="G178" s="16">
        <v>35.3444</v>
      </c>
      <c r="H178" s="24">
        <f t="shared" si="3"/>
        <v>414.06050180509499</v>
      </c>
    </row>
    <row r="179" spans="5:8" x14ac:dyDescent="0.2">
      <c r="E179" s="6">
        <v>46196</v>
      </c>
      <c r="F179" s="9">
        <v>13482.51</v>
      </c>
      <c r="G179" s="16">
        <v>32.489600000000003</v>
      </c>
      <c r="H179" s="24">
        <f t="shared" si="3"/>
        <v>414.9792549000295</v>
      </c>
    </row>
    <row r="180" spans="5:8" x14ac:dyDescent="0.2">
      <c r="E180" s="6">
        <v>46197</v>
      </c>
      <c r="F180" s="9">
        <v>13458.19</v>
      </c>
      <c r="G180" s="16">
        <v>31.566700000000001</v>
      </c>
      <c r="H180" s="24">
        <f t="shared" si="3"/>
        <v>426.34136605980353</v>
      </c>
    </row>
    <row r="181" spans="5:8" x14ac:dyDescent="0.2">
      <c r="E181" s="6">
        <v>46198</v>
      </c>
      <c r="F181" s="9">
        <v>13940.87</v>
      </c>
      <c r="G181" s="16">
        <v>32.072000000000003</v>
      </c>
      <c r="H181" s="24">
        <f t="shared" si="3"/>
        <v>434.67417061611371</v>
      </c>
    </row>
    <row r="182" spans="5:8" x14ac:dyDescent="0.2">
      <c r="E182" s="6">
        <v>46199</v>
      </c>
      <c r="F182" s="9">
        <v>13203.57</v>
      </c>
      <c r="G182" s="16">
        <v>30.376200000000001</v>
      </c>
      <c r="H182" s="24">
        <f t="shared" si="3"/>
        <v>434.66826001935726</v>
      </c>
    </row>
    <row r="183" spans="5:8" x14ac:dyDescent="0.2">
      <c r="E183" s="6">
        <v>46202</v>
      </c>
      <c r="F183" s="9">
        <v>13709.66</v>
      </c>
      <c r="G183" s="16">
        <v>31.415299999999998</v>
      </c>
      <c r="H183" s="24">
        <f t="shared" si="3"/>
        <v>436.40073467386912</v>
      </c>
    </row>
    <row r="184" spans="5:8" x14ac:dyDescent="0.2">
      <c r="E184" s="6">
        <v>46203</v>
      </c>
      <c r="F184" s="9">
        <v>14246.96</v>
      </c>
      <c r="G184" s="16">
        <v>32.644300000000001</v>
      </c>
      <c r="H184" s="24">
        <f t="shared" si="3"/>
        <v>436.43024969137025</v>
      </c>
    </row>
    <row r="185" spans="5:8" x14ac:dyDescent="0.2">
      <c r="E185" s="6">
        <v>46204</v>
      </c>
      <c r="F185" s="9">
        <v>13353.28</v>
      </c>
      <c r="G185" s="16">
        <v>30.598299999999998</v>
      </c>
      <c r="H185" s="24">
        <f t="shared" si="3"/>
        <v>436.40594412107868</v>
      </c>
    </row>
    <row r="186" spans="5:8" x14ac:dyDescent="0.2">
      <c r="E186" s="6">
        <v>46205</v>
      </c>
      <c r="F186" s="9">
        <v>12626.22</v>
      </c>
      <c r="G186" s="16">
        <v>28.926600000000001</v>
      </c>
      <c r="H186" s="24">
        <f t="shared" si="3"/>
        <v>436.49167202505652</v>
      </c>
    </row>
    <row r="187" spans="5:8" x14ac:dyDescent="0.2">
      <c r="E187" s="6">
        <v>46209</v>
      </c>
      <c r="F187" s="9">
        <v>12900.14</v>
      </c>
      <c r="G187" s="16">
        <v>29.5518</v>
      </c>
      <c r="H187" s="24">
        <f t="shared" si="3"/>
        <v>436.52637064408935</v>
      </c>
    </row>
    <row r="188" spans="5:8" x14ac:dyDescent="0.2">
      <c r="E188" s="6">
        <v>46210</v>
      </c>
      <c r="F188" s="9">
        <v>12300.52</v>
      </c>
      <c r="G188" s="16">
        <v>28.162299999999998</v>
      </c>
      <c r="H188" s="24">
        <f t="shared" si="3"/>
        <v>436.77256474080599</v>
      </c>
    </row>
    <row r="189" spans="5:8" x14ac:dyDescent="0.2">
      <c r="E189" s="6">
        <v>46211</v>
      </c>
      <c r="F189" s="9">
        <v>12574.97</v>
      </c>
      <c r="G189" s="16">
        <v>28.8385</v>
      </c>
      <c r="H189" s="24">
        <f t="shared" si="3"/>
        <v>436.04799140038489</v>
      </c>
    </row>
    <row r="190" spans="5:8" x14ac:dyDescent="0.2">
      <c r="E190" s="6">
        <v>46212</v>
      </c>
      <c r="F190" s="9">
        <v>12960</v>
      </c>
      <c r="G190" s="16">
        <v>29.726600000000001</v>
      </c>
      <c r="H190" s="24">
        <f t="shared" si="3"/>
        <v>435.97316881177125</v>
      </c>
    </row>
    <row r="191" spans="5:8" x14ac:dyDescent="0.2">
      <c r="E191" s="6">
        <v>46213</v>
      </c>
      <c r="F191" s="9">
        <v>12967.16</v>
      </c>
      <c r="G191" s="16">
        <v>29.739000000000001</v>
      </c>
      <c r="H191" s="24">
        <f t="shared" si="3"/>
        <v>436.0321463398231</v>
      </c>
    </row>
    <row r="192" spans="5:8" x14ac:dyDescent="0.2">
      <c r="E192" s="6">
        <v>46216</v>
      </c>
      <c r="F192" s="9">
        <v>12347.78</v>
      </c>
      <c r="G192" s="16">
        <v>28.301200000000001</v>
      </c>
      <c r="H192" s="24">
        <f t="shared" si="3"/>
        <v>436.29881418455756</v>
      </c>
    </row>
    <row r="193" spans="5:8" x14ac:dyDescent="0.2">
      <c r="E193" s="6">
        <v>46217</v>
      </c>
      <c r="F193" s="9">
        <v>12661.93</v>
      </c>
      <c r="G193" s="16">
        <v>29.018000000000001</v>
      </c>
      <c r="H193" s="24">
        <f t="shared" si="3"/>
        <v>436.34743952029777</v>
      </c>
    </row>
    <row r="194" spans="5:8" x14ac:dyDescent="0.2">
      <c r="E194" s="6">
        <v>46218</v>
      </c>
      <c r="F194" s="9">
        <v>12398.89</v>
      </c>
      <c r="G194" s="16">
        <v>28.351299999999998</v>
      </c>
      <c r="H194" s="24">
        <f t="shared" si="3"/>
        <v>437.33056332513854</v>
      </c>
    </row>
    <row r="195" spans="5:8" x14ac:dyDescent="0.2">
      <c r="E195" s="6">
        <v>46219</v>
      </c>
      <c r="F195" s="9">
        <v>11867.5</v>
      </c>
      <c r="G195" s="16">
        <v>27.0564</v>
      </c>
      <c r="H195" s="24">
        <f t="shared" si="3"/>
        <v>438.62080690705341</v>
      </c>
    </row>
    <row r="196" spans="5:8" x14ac:dyDescent="0.2">
      <c r="E196" s="6">
        <v>46220</v>
      </c>
      <c r="F196" s="9">
        <v>11673.89</v>
      </c>
      <c r="G196" s="16">
        <v>26.572800000000001</v>
      </c>
      <c r="H196" s="24">
        <f t="shared" si="3"/>
        <v>439.31727179672441</v>
      </c>
    </row>
    <row r="197" spans="5:8" x14ac:dyDescent="0.2">
      <c r="E197" s="6">
        <v>46223</v>
      </c>
      <c r="F197" s="9">
        <v>11743.85</v>
      </c>
      <c r="G197" s="16">
        <v>26.7197</v>
      </c>
      <c r="H197" s="24">
        <f t="shared" si="3"/>
        <v>439.52027904504916</v>
      </c>
    </row>
    <row r="198" spans="5:8" x14ac:dyDescent="0.2">
      <c r="E198" s="6">
        <v>46224</v>
      </c>
      <c r="F198" s="9">
        <v>12356.16</v>
      </c>
      <c r="G198" s="16">
        <v>28.040600000000001</v>
      </c>
      <c r="H198" s="24">
        <f t="shared" ref="H198:H261" si="4">F198/G198</f>
        <v>440.65248247184439</v>
      </c>
    </row>
    <row r="199" spans="5:8" x14ac:dyDescent="0.2">
      <c r="E199" s="6">
        <v>46225</v>
      </c>
      <c r="F199" s="9">
        <v>12410.67</v>
      </c>
      <c r="G199" s="16">
        <v>28.126300000000001</v>
      </c>
      <c r="H199" s="24">
        <f t="shared" si="4"/>
        <v>441.24787120950856</v>
      </c>
    </row>
    <row r="200" spans="5:8" x14ac:dyDescent="0.2">
      <c r="E200" s="6">
        <v>46226</v>
      </c>
      <c r="F200" s="9">
        <v>12343.84</v>
      </c>
      <c r="G200" s="16">
        <v>27.892099999999999</v>
      </c>
      <c r="H200" s="24">
        <f t="shared" si="4"/>
        <v>442.55685301572851</v>
      </c>
    </row>
    <row r="201" spans="5:8" x14ac:dyDescent="0.2">
      <c r="E201" s="6">
        <v>46227</v>
      </c>
      <c r="F201" s="9">
        <v>11818.89</v>
      </c>
      <c r="G201" s="16">
        <v>26.6768</v>
      </c>
      <c r="H201" s="24">
        <f t="shared" si="4"/>
        <v>443.04001979247886</v>
      </c>
    </row>
    <row r="202" spans="5:8" x14ac:dyDescent="0.2">
      <c r="E202" s="6">
        <v>46230</v>
      </c>
      <c r="F202" s="9">
        <v>11554.88</v>
      </c>
      <c r="G202" s="16">
        <v>26.0791</v>
      </c>
      <c r="H202" s="24">
        <f t="shared" si="4"/>
        <v>443.07050473367559</v>
      </c>
    </row>
    <row r="203" spans="5:8" x14ac:dyDescent="0.2">
      <c r="E203" s="6">
        <v>46231</v>
      </c>
      <c r="F203" s="9">
        <v>11035.68</v>
      </c>
      <c r="G203" s="16">
        <v>24.885999999999999</v>
      </c>
      <c r="H203" s="24">
        <f t="shared" si="4"/>
        <v>443.44932893996628</v>
      </c>
    </row>
    <row r="204" spans="5:8" x14ac:dyDescent="0.2">
      <c r="E204" s="6">
        <v>46232</v>
      </c>
      <c r="F204" s="9">
        <v>10447.49</v>
      </c>
      <c r="G204" s="16">
        <v>23.640599999999999</v>
      </c>
      <c r="H204" s="24">
        <f t="shared" si="4"/>
        <v>441.92998485656034</v>
      </c>
    </row>
    <row r="205" spans="5:8" x14ac:dyDescent="0.2">
      <c r="E205" s="6">
        <v>46233</v>
      </c>
      <c r="F205" s="9">
        <v>11302.99</v>
      </c>
      <c r="G205" s="16">
        <v>25.512499999999999</v>
      </c>
      <c r="H205" s="24">
        <f t="shared" si="4"/>
        <v>443.03733463988243</v>
      </c>
    </row>
    <row r="206" spans="5:8" x14ac:dyDescent="0.2">
      <c r="E206" s="6">
        <v>46234</v>
      </c>
      <c r="F206" s="9">
        <v>11311.08</v>
      </c>
      <c r="G206" s="16">
        <v>25.511700000000001</v>
      </c>
      <c r="H206" s="24">
        <f t="shared" si="4"/>
        <v>443.36833688072528</v>
      </c>
    </row>
    <row r="207" spans="5:8" x14ac:dyDescent="0.2">
      <c r="E207" s="6">
        <v>46237</v>
      </c>
      <c r="F207" s="9">
        <v>11430.35</v>
      </c>
      <c r="G207" s="16">
        <v>25.769600000000001</v>
      </c>
      <c r="H207" s="24">
        <f t="shared" si="4"/>
        <v>443.55946541661496</v>
      </c>
    </row>
    <row r="208" spans="5:8" x14ac:dyDescent="0.2">
      <c r="E208" s="6">
        <v>46238</v>
      </c>
      <c r="F208" s="9">
        <v>12179.26</v>
      </c>
      <c r="G208" s="16">
        <v>27.454699999999999</v>
      </c>
      <c r="H208" s="24">
        <f t="shared" si="4"/>
        <v>443.6129333046801</v>
      </c>
    </row>
    <row r="209" spans="5:8" x14ac:dyDescent="0.2">
      <c r="E209" s="6">
        <v>46239</v>
      </c>
      <c r="F209" s="9">
        <v>12008.88</v>
      </c>
      <c r="G209" s="16">
        <v>27.024999999999999</v>
      </c>
      <c r="H209" s="24">
        <f t="shared" si="4"/>
        <v>444.36188714153559</v>
      </c>
    </row>
    <row r="210" spans="5:8" x14ac:dyDescent="0.2">
      <c r="E210" s="6">
        <v>46240</v>
      </c>
      <c r="F210" s="9">
        <v>12048.69</v>
      </c>
      <c r="G210" s="16">
        <v>27.107700000000001</v>
      </c>
      <c r="H210" s="24">
        <f t="shared" si="4"/>
        <v>444.47481711838333</v>
      </c>
    </row>
    <row r="211" spans="5:8" x14ac:dyDescent="0.2">
      <c r="E211" s="6">
        <v>46241</v>
      </c>
      <c r="F211" s="9">
        <v>12356.79</v>
      </c>
      <c r="G211" s="16">
        <v>27.779900000000001</v>
      </c>
      <c r="H211" s="24">
        <f t="shared" si="4"/>
        <v>444.81045648112485</v>
      </c>
    </row>
    <row r="212" spans="5:8" x14ac:dyDescent="0.2">
      <c r="E212" s="6">
        <v>46244</v>
      </c>
      <c r="F212" s="9">
        <v>11993.86</v>
      </c>
      <c r="G212" s="16">
        <v>26.972000000000001</v>
      </c>
      <c r="H212" s="24">
        <f t="shared" si="4"/>
        <v>444.67818478422066</v>
      </c>
    </row>
    <row r="213" spans="5:8" x14ac:dyDescent="0.2">
      <c r="E213" s="6">
        <v>46245</v>
      </c>
      <c r="F213" s="9">
        <v>12098.47</v>
      </c>
      <c r="G213" s="16">
        <v>27.209199999999999</v>
      </c>
      <c r="H213" s="24">
        <f t="shared" si="4"/>
        <v>444.64629610572894</v>
      </c>
    </row>
    <row r="214" spans="5:8" x14ac:dyDescent="0.2">
      <c r="E214" s="6">
        <v>46246</v>
      </c>
      <c r="F214" s="9">
        <v>12399.38</v>
      </c>
      <c r="G214" s="16">
        <v>27.892299999999999</v>
      </c>
      <c r="H214" s="24">
        <f t="shared" si="4"/>
        <v>444.54491024404587</v>
      </c>
    </row>
    <row r="215" spans="5:8" x14ac:dyDescent="0.2">
      <c r="E215" s="6">
        <v>46247</v>
      </c>
      <c r="F215" s="9">
        <v>12456</v>
      </c>
      <c r="G215" s="16">
        <v>27.982900000000001</v>
      </c>
      <c r="H215" s="24">
        <f t="shared" si="4"/>
        <v>445.12898949000999</v>
      </c>
    </row>
    <row r="216" spans="5:8" x14ac:dyDescent="0.2">
      <c r="E216" s="6">
        <v>46248</v>
      </c>
      <c r="F216" s="9">
        <v>12417.05</v>
      </c>
      <c r="G216" s="16">
        <v>27.873799999999999</v>
      </c>
      <c r="H216" s="24">
        <f t="shared" si="4"/>
        <v>445.47388587132002</v>
      </c>
    </row>
    <row r="217" spans="5:8" x14ac:dyDescent="0.2">
      <c r="E217" s="6">
        <v>46251</v>
      </c>
      <c r="F217" s="9">
        <v>12621</v>
      </c>
      <c r="G217" s="16">
        <v>28.322700000000001</v>
      </c>
      <c r="H217" s="24">
        <f t="shared" si="4"/>
        <v>445.61429524727515</v>
      </c>
    </row>
    <row r="218" spans="5:8" x14ac:dyDescent="0.2">
      <c r="E218" s="6">
        <v>46252</v>
      </c>
      <c r="F218" s="9">
        <v>11992.46</v>
      </c>
      <c r="G218" s="16">
        <v>26.908200000000001</v>
      </c>
      <c r="H218" s="24">
        <f t="shared" si="4"/>
        <v>445.68049888138182</v>
      </c>
    </row>
    <row r="219" spans="5:8" x14ac:dyDescent="0.2">
      <c r="E219" s="6">
        <v>46253</v>
      </c>
      <c r="F219" s="9">
        <v>11738.23</v>
      </c>
      <c r="G219" s="16">
        <v>26.2957</v>
      </c>
      <c r="H219" s="24">
        <f t="shared" si="4"/>
        <v>446.39351681073327</v>
      </c>
    </row>
    <row r="220" spans="5:8" x14ac:dyDescent="0.2">
      <c r="E220" s="6">
        <v>46254</v>
      </c>
      <c r="F220" s="9">
        <v>11800.02</v>
      </c>
      <c r="G220" s="16">
        <v>26.3795</v>
      </c>
      <c r="H220" s="24">
        <f t="shared" si="4"/>
        <v>447.31780359749047</v>
      </c>
    </row>
    <row r="221" spans="5:8" x14ac:dyDescent="0.2">
      <c r="E221" s="6">
        <v>46255</v>
      </c>
      <c r="F221" s="9">
        <v>11740.37</v>
      </c>
      <c r="G221" s="16">
        <v>26.2379</v>
      </c>
      <c r="H221" s="24">
        <f t="shared" si="4"/>
        <v>447.45844751294885</v>
      </c>
    </row>
    <row r="222" spans="5:8" x14ac:dyDescent="0.2">
      <c r="E222" s="6">
        <v>46258</v>
      </c>
      <c r="F222" s="9">
        <v>11423.17</v>
      </c>
      <c r="G222" s="16">
        <v>25.518599999999999</v>
      </c>
      <c r="H222" s="24">
        <f t="shared" si="4"/>
        <v>447.6409364150071</v>
      </c>
    </row>
    <row r="223" spans="5:8" x14ac:dyDescent="0.2">
      <c r="E223" s="6">
        <v>46259</v>
      </c>
      <c r="F223" s="9">
        <v>11588.04</v>
      </c>
      <c r="G223" s="16">
        <v>25.8596</v>
      </c>
      <c r="H223" s="24">
        <f t="shared" si="4"/>
        <v>448.11365991740013</v>
      </c>
    </row>
    <row r="224" spans="5:8" x14ac:dyDescent="0.2">
      <c r="E224" s="6">
        <v>46260</v>
      </c>
      <c r="F224" s="9">
        <v>11611.24</v>
      </c>
      <c r="G224" s="16">
        <v>25.8597</v>
      </c>
      <c r="H224" s="24">
        <f t="shared" si="4"/>
        <v>449.00907589801892</v>
      </c>
    </row>
    <row r="225" spans="5:8" x14ac:dyDescent="0.2">
      <c r="E225" s="6">
        <v>46261</v>
      </c>
      <c r="F225" s="9">
        <v>11882.17</v>
      </c>
      <c r="G225" s="16">
        <v>26.5</v>
      </c>
      <c r="H225" s="24">
        <f t="shared" si="4"/>
        <v>448.38377358490567</v>
      </c>
    </row>
    <row r="226" spans="5:8" x14ac:dyDescent="0.2">
      <c r="E226" s="6">
        <v>46262</v>
      </c>
      <c r="F226" s="9">
        <v>11469.66</v>
      </c>
      <c r="G226" s="16">
        <v>25.572399999999998</v>
      </c>
      <c r="H226" s="24">
        <f t="shared" si="4"/>
        <v>448.51715130374936</v>
      </c>
    </row>
    <row r="227" spans="5:8" x14ac:dyDescent="0.2">
      <c r="E227" s="6">
        <v>46265</v>
      </c>
      <c r="F227" s="9">
        <v>11535.05</v>
      </c>
      <c r="G227" s="16">
        <v>25.694400000000002</v>
      </c>
      <c r="H227" s="24">
        <f t="shared" si="4"/>
        <v>448.93245220748486</v>
      </c>
    </row>
    <row r="228" spans="5:8" x14ac:dyDescent="0.2">
      <c r="E228" s="6">
        <v>46266</v>
      </c>
      <c r="F228" s="9">
        <v>11288.61</v>
      </c>
      <c r="G228" s="16">
        <v>25.173500000000001</v>
      </c>
      <c r="H228" s="24">
        <f t="shared" si="4"/>
        <v>448.43227997695993</v>
      </c>
    </row>
    <row r="229" spans="5:8" x14ac:dyDescent="0.2">
      <c r="E229" s="6">
        <v>46267</v>
      </c>
      <c r="F229" s="9">
        <v>11339.25</v>
      </c>
      <c r="G229" s="16">
        <v>25.391999999999999</v>
      </c>
      <c r="H229" s="24">
        <f t="shared" si="4"/>
        <v>446.56781663516068</v>
      </c>
    </row>
    <row r="230" spans="5:8" x14ac:dyDescent="0.2">
      <c r="E230" s="6">
        <v>46268</v>
      </c>
      <c r="F230" s="9">
        <v>11352.13</v>
      </c>
      <c r="G230" s="16">
        <v>25.427700000000002</v>
      </c>
      <c r="H230" s="24">
        <f t="shared" si="4"/>
        <v>446.44737825285017</v>
      </c>
    </row>
    <row r="231" spans="5:8" x14ac:dyDescent="0.2">
      <c r="E231" s="6">
        <v>46269</v>
      </c>
      <c r="F231" s="9">
        <v>11735.26</v>
      </c>
      <c r="G231" s="16">
        <v>26.272600000000001</v>
      </c>
      <c r="H231" s="24">
        <f t="shared" si="4"/>
        <v>446.67295966139631</v>
      </c>
    </row>
    <row r="232" spans="5:8" x14ac:dyDescent="0.2">
      <c r="E232" s="6">
        <v>46273</v>
      </c>
      <c r="F232" s="9">
        <v>11887.87</v>
      </c>
      <c r="G232" s="16">
        <v>26.6099</v>
      </c>
      <c r="H232" s="24">
        <f t="shared" si="4"/>
        <v>446.74613583666235</v>
      </c>
    </row>
    <row r="233" spans="5:8" x14ac:dyDescent="0.2">
      <c r="E233" s="6">
        <v>46274</v>
      </c>
      <c r="F233" s="9">
        <v>11931.32</v>
      </c>
      <c r="G233" s="16">
        <v>26.7013</v>
      </c>
      <c r="H233" s="24">
        <f t="shared" si="4"/>
        <v>446.84416114571201</v>
      </c>
    </row>
    <row r="234" spans="5:8" x14ac:dyDescent="0.2">
      <c r="E234" s="6">
        <v>46275</v>
      </c>
      <c r="F234" s="9">
        <v>11614.17</v>
      </c>
      <c r="G234" s="16">
        <v>25.979600000000001</v>
      </c>
      <c r="H234" s="24">
        <f t="shared" si="4"/>
        <v>447.04960815409009</v>
      </c>
    </row>
    <row r="235" spans="5:8" x14ac:dyDescent="0.2">
      <c r="E235" s="6">
        <v>46276</v>
      </c>
      <c r="F235" s="9">
        <v>11824</v>
      </c>
      <c r="G235" s="16">
        <v>26.445499999999999</v>
      </c>
      <c r="H235" s="24">
        <f t="shared" si="4"/>
        <v>447.10820366413947</v>
      </c>
    </row>
    <row r="236" spans="5:8" x14ac:dyDescent="0.2">
      <c r="E236" s="6">
        <v>46279</v>
      </c>
      <c r="F236" s="9">
        <v>11131.28</v>
      </c>
      <c r="G236" s="16">
        <v>24.904199999999999</v>
      </c>
      <c r="H236" s="24">
        <f t="shared" si="4"/>
        <v>446.96396591739551</v>
      </c>
    </row>
    <row r="237" spans="5:8" x14ac:dyDescent="0.2">
      <c r="E237" s="6">
        <v>46280</v>
      </c>
      <c r="F237" s="9">
        <v>11175.55</v>
      </c>
      <c r="G237" s="16">
        <v>24.996700000000001</v>
      </c>
      <c r="H237" s="24">
        <f t="shared" si="4"/>
        <v>447.08101469393955</v>
      </c>
    </row>
    <row r="238" spans="5:8" x14ac:dyDescent="0.2">
      <c r="E238" s="6">
        <v>46281</v>
      </c>
      <c r="F238" s="9">
        <v>11246.11</v>
      </c>
      <c r="G238" s="16">
        <v>25.145499999999998</v>
      </c>
      <c r="H238" s="24">
        <f t="shared" si="4"/>
        <v>447.24145473345135</v>
      </c>
    </row>
    <row r="239" spans="5:8" x14ac:dyDescent="0.2">
      <c r="E239" s="6">
        <v>46282</v>
      </c>
      <c r="F239" s="9">
        <v>11599.49</v>
      </c>
      <c r="G239" s="16">
        <v>25.939</v>
      </c>
      <c r="H239" s="24">
        <f t="shared" si="4"/>
        <v>447.18339180384748</v>
      </c>
    </row>
    <row r="240" spans="5:8" x14ac:dyDescent="0.2">
      <c r="E240" s="6">
        <v>46283</v>
      </c>
      <c r="F240" s="9">
        <v>11921.69</v>
      </c>
      <c r="G240" s="16">
        <v>26.662700000000001</v>
      </c>
      <c r="H240" s="24">
        <f t="shared" si="4"/>
        <v>447.12988557047862</v>
      </c>
    </row>
    <row r="241" spans="5:8" x14ac:dyDescent="0.2">
      <c r="E241" s="6">
        <v>46286</v>
      </c>
      <c r="F241" s="9">
        <v>12433.17</v>
      </c>
      <c r="G241" s="16">
        <v>28.782900000000001</v>
      </c>
      <c r="H241" s="24">
        <f t="shared" si="4"/>
        <v>431.9637701551963</v>
      </c>
    </row>
    <row r="242" spans="5:8" x14ac:dyDescent="0.2">
      <c r="E242" s="6">
        <v>46287</v>
      </c>
      <c r="F242" s="9">
        <v>12689.82</v>
      </c>
      <c r="G242" s="16">
        <v>29.3704</v>
      </c>
      <c r="H242" s="24">
        <f t="shared" si="4"/>
        <v>432.06153133767327</v>
      </c>
    </row>
    <row r="243" spans="5:8" x14ac:dyDescent="0.2">
      <c r="E243" s="6">
        <v>46288</v>
      </c>
      <c r="F243" s="9">
        <v>12534.27</v>
      </c>
      <c r="G243" s="16">
        <v>29.000800000000002</v>
      </c>
      <c r="H243" s="24">
        <f t="shared" si="4"/>
        <v>432.20428401975119</v>
      </c>
    </row>
    <row r="244" spans="5:8" x14ac:dyDescent="0.2">
      <c r="E244" s="6">
        <v>46289</v>
      </c>
      <c r="F244" s="9">
        <v>12492.54</v>
      </c>
      <c r="G244" s="16">
        <v>28.8932</v>
      </c>
      <c r="H244" s="24">
        <f t="shared" si="4"/>
        <v>432.36955408192932</v>
      </c>
    </row>
    <row r="245" spans="5:8" x14ac:dyDescent="0.2">
      <c r="E245" s="6">
        <v>46290</v>
      </c>
      <c r="F245" s="9">
        <v>12668.93</v>
      </c>
      <c r="G245" s="16">
        <v>29.321300000000001</v>
      </c>
      <c r="H245" s="24">
        <f t="shared" si="4"/>
        <v>432.07258886884279</v>
      </c>
    </row>
    <row r="246" spans="5:8" x14ac:dyDescent="0.2">
      <c r="E246" s="6">
        <v>46293</v>
      </c>
      <c r="F246" s="9">
        <v>12465.24</v>
      </c>
      <c r="G246" s="16">
        <v>28.819900000000001</v>
      </c>
      <c r="H246" s="24">
        <f t="shared" si="4"/>
        <v>432.52197266472126</v>
      </c>
    </row>
    <row r="247" spans="5:8" x14ac:dyDescent="0.2">
      <c r="E247" s="6">
        <v>46294</v>
      </c>
      <c r="F247" s="9">
        <v>12629.16</v>
      </c>
      <c r="G247" s="16">
        <v>29.204599999999999</v>
      </c>
      <c r="H247" s="24">
        <f t="shared" si="4"/>
        <v>432.43735575902429</v>
      </c>
    </row>
    <row r="248" spans="5:8" x14ac:dyDescent="0.2">
      <c r="E248" s="6">
        <v>46295</v>
      </c>
      <c r="F248" s="9">
        <v>12628.62</v>
      </c>
      <c r="G248" s="16">
        <v>28.984300000000001</v>
      </c>
      <c r="H248" s="24">
        <f t="shared" si="4"/>
        <v>435.70553713562168</v>
      </c>
    </row>
    <row r="249" spans="5:8" x14ac:dyDescent="0.2">
      <c r="E249" s="6">
        <v>46296</v>
      </c>
      <c r="F249" s="9">
        <v>12829</v>
      </c>
      <c r="G249" s="16">
        <v>29.384399999999999</v>
      </c>
      <c r="H249" s="24">
        <f t="shared" si="4"/>
        <v>436.59220538789293</v>
      </c>
    </row>
    <row r="250" spans="5:8" x14ac:dyDescent="0.2">
      <c r="E250" s="6">
        <v>46297</v>
      </c>
      <c r="F250" s="9">
        <v>13136.67</v>
      </c>
      <c r="G250" s="16">
        <v>30.0854</v>
      </c>
      <c r="H250" s="24">
        <f t="shared" si="4"/>
        <v>436.64601434582886</v>
      </c>
    </row>
    <row r="251" spans="5:8" x14ac:dyDescent="0.2">
      <c r="E251" s="6">
        <v>46300</v>
      </c>
      <c r="F251" s="9">
        <v>13172.74</v>
      </c>
      <c r="G251" s="16">
        <v>30.149100000000001</v>
      </c>
      <c r="H251" s="24">
        <f t="shared" si="4"/>
        <v>436.91984171998502</v>
      </c>
    </row>
    <row r="252" spans="5:8" x14ac:dyDescent="0.2">
      <c r="E252" s="6">
        <v>46301</v>
      </c>
      <c r="F252" s="9">
        <v>13217.82</v>
      </c>
      <c r="G252" s="16">
        <v>30.243200000000002</v>
      </c>
      <c r="H252" s="24">
        <f t="shared" si="4"/>
        <v>437.05097344196378</v>
      </c>
    </row>
    <row r="253" spans="5:8" x14ac:dyDescent="0.2">
      <c r="E253" s="6">
        <v>46302</v>
      </c>
      <c r="F253" s="9">
        <v>13066.15</v>
      </c>
      <c r="G253" s="16">
        <v>29.9011</v>
      </c>
      <c r="H253" s="24">
        <f t="shared" si="4"/>
        <v>436.97890713050691</v>
      </c>
    </row>
    <row r="254" spans="5:8" x14ac:dyDescent="0.2">
      <c r="E254" s="6">
        <v>46303</v>
      </c>
      <c r="F254" s="9">
        <v>12623.71</v>
      </c>
      <c r="G254" s="16">
        <v>28.8933</v>
      </c>
      <c r="H254" s="24">
        <f t="shared" si="4"/>
        <v>436.90786445300466</v>
      </c>
    </row>
    <row r="255" spans="5:8" x14ac:dyDescent="0.2">
      <c r="E255" s="6">
        <v>46304</v>
      </c>
      <c r="F255" s="9">
        <v>12572.42</v>
      </c>
      <c r="G255" s="16">
        <v>28.776</v>
      </c>
      <c r="H255" s="24">
        <f t="shared" si="4"/>
        <v>436.90644981929387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2"/>
  <sheetViews>
    <sheetView workbookViewId="0"/>
  </sheetViews>
  <sheetFormatPr baseColWidth="10" defaultColWidth="8.83203125" defaultRowHeight="15" x14ac:dyDescent="0.2"/>
  <cols>
    <col min="1" max="1" width="10" customWidth="1"/>
    <col min="2" max="2" width="8" customWidth="1"/>
    <col min="3" max="4" width="12" customWidth="1"/>
    <col min="5" max="5" width="11" customWidth="1"/>
    <col min="6" max="11" width="12" customWidth="1"/>
    <col min="12" max="12" width="3" customWidth="1"/>
    <col min="13" max="13" width="26" customWidth="1"/>
    <col min="14" max="14" width="10" customWidth="1"/>
  </cols>
  <sheetData>
    <row r="1" spans="1:14" ht="16" x14ac:dyDescent="0.2">
      <c r="A1" s="1" t="s">
        <v>156</v>
      </c>
    </row>
    <row r="2" spans="1:14" x14ac:dyDescent="0.2">
      <c r="A2" s="4" t="s">
        <v>157</v>
      </c>
    </row>
    <row r="4" spans="1:14" ht="28" x14ac:dyDescent="0.2">
      <c r="A4" s="5" t="s">
        <v>133</v>
      </c>
      <c r="B4" s="5" t="s">
        <v>158</v>
      </c>
      <c r="C4" s="5" t="s">
        <v>159</v>
      </c>
      <c r="D4" s="5" t="s">
        <v>160</v>
      </c>
      <c r="E4" s="5" t="s">
        <v>161</v>
      </c>
      <c r="F4" s="5" t="s">
        <v>162</v>
      </c>
      <c r="G4" s="5" t="s">
        <v>163</v>
      </c>
      <c r="H4" s="5" t="s">
        <v>164</v>
      </c>
      <c r="I4" s="5" t="s">
        <v>165</v>
      </c>
      <c r="J4" s="5" t="s">
        <v>166</v>
      </c>
      <c r="K4" s="5" t="s">
        <v>167</v>
      </c>
      <c r="M4" s="3" t="s">
        <v>65</v>
      </c>
    </row>
    <row r="5" spans="1:14" x14ac:dyDescent="0.2">
      <c r="A5" s="22">
        <v>45658</v>
      </c>
      <c r="B5" s="26">
        <v>127.2</v>
      </c>
      <c r="C5" s="26">
        <v>113.5</v>
      </c>
      <c r="D5" s="26">
        <v>140.80000000000001</v>
      </c>
      <c r="E5" s="27">
        <f t="shared" ref="E5:E25" si="0">D5-C5</f>
        <v>27.300000000000011</v>
      </c>
      <c r="F5" s="26">
        <v>122.6</v>
      </c>
      <c r="G5" s="26">
        <v>107.7</v>
      </c>
      <c r="H5" s="26">
        <v>110.3</v>
      </c>
      <c r="I5" s="26">
        <v>144.80000000000001</v>
      </c>
      <c r="J5" s="26">
        <v>137</v>
      </c>
      <c r="K5" s="26">
        <v>140.69999999999999</v>
      </c>
      <c r="M5" s="2" t="s">
        <v>168</v>
      </c>
      <c r="N5" s="28">
        <f>C25</f>
        <v>107.5</v>
      </c>
    </row>
    <row r="6" spans="1:14" x14ac:dyDescent="0.2">
      <c r="A6" s="22">
        <v>45689</v>
      </c>
      <c r="B6" s="26">
        <v>126.4</v>
      </c>
      <c r="C6" s="26">
        <v>114.2</v>
      </c>
      <c r="D6" s="26">
        <v>138.69999999999999</v>
      </c>
      <c r="E6" s="27">
        <f t="shared" si="0"/>
        <v>24.499999999999986</v>
      </c>
      <c r="F6" s="26">
        <v>122.7</v>
      </c>
      <c r="G6" s="26">
        <v>106.2</v>
      </c>
      <c r="H6" s="26">
        <v>113.7</v>
      </c>
      <c r="I6" s="26">
        <v>143.30000000000001</v>
      </c>
      <c r="J6" s="26">
        <v>134.19999999999999</v>
      </c>
      <c r="K6" s="26">
        <v>138.6</v>
      </c>
      <c r="M6" s="2" t="s">
        <v>169</v>
      </c>
      <c r="N6" s="28">
        <f>MIN(C17:C25)</f>
        <v>107.5</v>
      </c>
    </row>
    <row r="7" spans="1:14" x14ac:dyDescent="0.2">
      <c r="A7" s="22">
        <v>45717</v>
      </c>
      <c r="B7" s="26">
        <v>121.1</v>
      </c>
      <c r="C7" s="26">
        <v>110.6</v>
      </c>
      <c r="D7" s="26">
        <v>131.69999999999999</v>
      </c>
      <c r="E7" s="27">
        <f t="shared" si="0"/>
        <v>21.099999999999994</v>
      </c>
      <c r="F7" s="26">
        <v>121.3</v>
      </c>
      <c r="G7" s="26">
        <v>100.3</v>
      </c>
      <c r="H7" s="26">
        <v>110.2</v>
      </c>
      <c r="I7" s="26">
        <v>137</v>
      </c>
      <c r="J7" s="26">
        <v>125.9</v>
      </c>
      <c r="K7" s="26">
        <v>132.19999999999999</v>
      </c>
      <c r="M7" s="2" t="s">
        <v>170</v>
      </c>
      <c r="N7" s="28">
        <f>D25</f>
        <v>128.69999999999999</v>
      </c>
    </row>
    <row r="8" spans="1:14" x14ac:dyDescent="0.2">
      <c r="A8" s="22">
        <v>45748</v>
      </c>
      <c r="B8" s="26">
        <v>121.7</v>
      </c>
      <c r="C8" s="26">
        <v>113.7</v>
      </c>
      <c r="D8" s="26">
        <v>129.80000000000001</v>
      </c>
      <c r="E8" s="27">
        <f t="shared" si="0"/>
        <v>16.100000000000009</v>
      </c>
      <c r="F8" s="26">
        <v>125.4</v>
      </c>
      <c r="G8" s="26">
        <v>101.6</v>
      </c>
      <c r="H8" s="26">
        <v>113.9</v>
      </c>
      <c r="I8" s="26">
        <v>137.5</v>
      </c>
      <c r="J8" s="26">
        <v>123.5</v>
      </c>
      <c r="K8" s="26">
        <v>128.5</v>
      </c>
      <c r="M8" s="2" t="s">
        <v>171</v>
      </c>
      <c r="N8" s="28">
        <f>E25</f>
        <v>21.199999999999989</v>
      </c>
    </row>
    <row r="9" spans="1:14" x14ac:dyDescent="0.2">
      <c r="A9" s="22">
        <v>45778</v>
      </c>
      <c r="B9" s="26">
        <v>117.5</v>
      </c>
      <c r="C9" s="26">
        <v>106</v>
      </c>
      <c r="D9" s="26">
        <v>129</v>
      </c>
      <c r="E9" s="27">
        <f t="shared" si="0"/>
        <v>23</v>
      </c>
      <c r="F9" s="26">
        <v>118.1</v>
      </c>
      <c r="G9" s="26">
        <v>95.7</v>
      </c>
      <c r="H9" s="26">
        <v>104.1</v>
      </c>
      <c r="I9" s="26">
        <v>135.4</v>
      </c>
      <c r="J9" s="26">
        <v>123.8</v>
      </c>
      <c r="K9" s="26">
        <v>127.8</v>
      </c>
      <c r="M9" s="2" t="s">
        <v>172</v>
      </c>
      <c r="N9" s="28">
        <f>AVERAGE(E5:E16)</f>
        <v>23.283333333333331</v>
      </c>
    </row>
    <row r="10" spans="1:14" x14ac:dyDescent="0.2">
      <c r="A10" s="22">
        <v>45809</v>
      </c>
      <c r="B10" s="26">
        <v>117.8</v>
      </c>
      <c r="C10" s="26">
        <v>106.7</v>
      </c>
      <c r="D10" s="26">
        <v>128.9</v>
      </c>
      <c r="E10" s="27">
        <f t="shared" si="0"/>
        <v>22.200000000000003</v>
      </c>
      <c r="F10" s="26">
        <v>120.2</v>
      </c>
      <c r="G10" s="26">
        <v>94.1</v>
      </c>
      <c r="H10" s="26">
        <v>105.9</v>
      </c>
      <c r="I10" s="26">
        <v>133.19999999999999</v>
      </c>
      <c r="J10" s="26">
        <v>124.1</v>
      </c>
      <c r="K10" s="26">
        <v>129.30000000000001</v>
      </c>
      <c r="M10" s="2" t="s">
        <v>173</v>
      </c>
      <c r="N10" s="28">
        <f>F25</f>
        <v>114.6</v>
      </c>
    </row>
    <row r="11" spans="1:14" x14ac:dyDescent="0.2">
      <c r="A11" s="22">
        <v>45839</v>
      </c>
      <c r="B11" s="26">
        <v>118.1</v>
      </c>
      <c r="C11" s="26">
        <v>106.6</v>
      </c>
      <c r="D11" s="26">
        <v>129.6</v>
      </c>
      <c r="E11" s="27">
        <f t="shared" si="0"/>
        <v>23</v>
      </c>
      <c r="F11" s="26">
        <v>117.8</v>
      </c>
      <c r="G11" s="26">
        <v>95.3</v>
      </c>
      <c r="H11" s="26">
        <v>106.6</v>
      </c>
      <c r="I11" s="26">
        <v>136.4</v>
      </c>
      <c r="J11" s="26">
        <v>125</v>
      </c>
      <c r="K11" s="26">
        <v>127.5</v>
      </c>
      <c r="M11" s="2" t="s">
        <v>174</v>
      </c>
      <c r="N11" s="28">
        <f>G25</f>
        <v>101.1</v>
      </c>
    </row>
    <row r="12" spans="1:14" x14ac:dyDescent="0.2">
      <c r="A12" s="22">
        <v>45870</v>
      </c>
      <c r="B12" s="26">
        <v>117.2</v>
      </c>
      <c r="C12" s="26">
        <v>105.1</v>
      </c>
      <c r="D12" s="26">
        <v>129.19999999999999</v>
      </c>
      <c r="E12" s="27">
        <f t="shared" si="0"/>
        <v>24.099999999999994</v>
      </c>
      <c r="F12" s="26">
        <v>116.9</v>
      </c>
      <c r="G12" s="26">
        <v>93.2</v>
      </c>
      <c r="H12" s="26">
        <v>105.1</v>
      </c>
      <c r="I12" s="26">
        <v>136.69999999999999</v>
      </c>
      <c r="J12" s="26">
        <v>122.8</v>
      </c>
      <c r="K12" s="26">
        <v>128.19999999999999</v>
      </c>
    </row>
    <row r="13" spans="1:14" x14ac:dyDescent="0.2">
      <c r="A13" s="22">
        <v>45901</v>
      </c>
      <c r="B13" s="26">
        <v>115</v>
      </c>
      <c r="C13" s="26">
        <v>102.7</v>
      </c>
      <c r="D13" s="26">
        <v>127.2</v>
      </c>
      <c r="E13" s="27">
        <f t="shared" si="0"/>
        <v>24.5</v>
      </c>
      <c r="F13" s="26">
        <v>112.9</v>
      </c>
      <c r="G13" s="26">
        <v>92</v>
      </c>
      <c r="H13" s="26">
        <v>103.2</v>
      </c>
      <c r="I13" s="26">
        <v>134.30000000000001</v>
      </c>
      <c r="J13" s="26">
        <v>123.1</v>
      </c>
      <c r="K13" s="26">
        <v>124.2</v>
      </c>
    </row>
    <row r="14" spans="1:14" x14ac:dyDescent="0.2">
      <c r="A14" s="22">
        <v>45931</v>
      </c>
      <c r="B14" s="26">
        <v>121.2</v>
      </c>
      <c r="C14" s="26">
        <v>109.1</v>
      </c>
      <c r="D14" s="26">
        <v>133.4</v>
      </c>
      <c r="E14" s="27">
        <f t="shared" si="0"/>
        <v>24.300000000000011</v>
      </c>
      <c r="F14" s="26">
        <v>117.1</v>
      </c>
      <c r="G14" s="26">
        <v>102.6</v>
      </c>
      <c r="H14" s="26">
        <v>107.5</v>
      </c>
      <c r="I14" s="26">
        <v>138.4</v>
      </c>
      <c r="J14" s="26">
        <v>132</v>
      </c>
      <c r="K14" s="26">
        <v>129.6</v>
      </c>
    </row>
    <row r="15" spans="1:14" x14ac:dyDescent="0.2">
      <c r="A15" s="22">
        <v>45962</v>
      </c>
      <c r="B15" s="26">
        <v>124</v>
      </c>
      <c r="C15" s="26">
        <v>111.5</v>
      </c>
      <c r="D15" s="26">
        <v>136.6</v>
      </c>
      <c r="E15" s="27">
        <f t="shared" si="0"/>
        <v>25.099999999999994</v>
      </c>
      <c r="F15" s="26">
        <v>121.5</v>
      </c>
      <c r="G15" s="26">
        <v>103.7</v>
      </c>
      <c r="H15" s="26">
        <v>109.4</v>
      </c>
      <c r="I15" s="26">
        <v>140.6</v>
      </c>
      <c r="J15" s="26">
        <v>135.30000000000001</v>
      </c>
      <c r="K15" s="26">
        <v>133.80000000000001</v>
      </c>
    </row>
    <row r="16" spans="1:14" x14ac:dyDescent="0.2">
      <c r="A16" s="22">
        <v>45992</v>
      </c>
      <c r="B16" s="26">
        <v>123.5</v>
      </c>
      <c r="C16" s="26">
        <v>111.4</v>
      </c>
      <c r="D16" s="26">
        <v>135.6</v>
      </c>
      <c r="E16" s="27">
        <f t="shared" si="0"/>
        <v>24.199999999999989</v>
      </c>
      <c r="F16" s="26">
        <v>120.2</v>
      </c>
      <c r="G16" s="26">
        <v>106.5</v>
      </c>
      <c r="H16" s="26">
        <v>107.6</v>
      </c>
      <c r="I16" s="26">
        <v>140.80000000000001</v>
      </c>
      <c r="J16" s="26">
        <v>135.1</v>
      </c>
      <c r="K16" s="26">
        <v>130.80000000000001</v>
      </c>
    </row>
    <row r="17" spans="1:14" x14ac:dyDescent="0.2">
      <c r="A17" s="22">
        <v>46023</v>
      </c>
      <c r="B17" s="26">
        <v>127</v>
      </c>
      <c r="C17" s="26">
        <v>115.1</v>
      </c>
      <c r="D17" s="26">
        <v>138.80000000000001</v>
      </c>
      <c r="E17" s="27">
        <f t="shared" si="0"/>
        <v>23.700000000000017</v>
      </c>
      <c r="F17" s="26">
        <v>123.7</v>
      </c>
      <c r="G17" s="26">
        <v>109.9</v>
      </c>
      <c r="H17" s="26">
        <v>111.8</v>
      </c>
      <c r="I17" s="26">
        <v>146</v>
      </c>
      <c r="J17" s="26">
        <v>135.1</v>
      </c>
      <c r="K17" s="26">
        <v>135.30000000000001</v>
      </c>
    </row>
    <row r="18" spans="1:14" x14ac:dyDescent="0.2">
      <c r="A18" s="22">
        <v>46054</v>
      </c>
      <c r="B18" s="26">
        <v>125.2</v>
      </c>
      <c r="C18" s="26">
        <v>115.9</v>
      </c>
      <c r="D18" s="26">
        <v>134.4</v>
      </c>
      <c r="E18" s="27">
        <f t="shared" si="0"/>
        <v>18.5</v>
      </c>
      <c r="F18" s="26">
        <v>125</v>
      </c>
      <c r="G18" s="26">
        <v>110.7</v>
      </c>
      <c r="H18" s="26">
        <v>112</v>
      </c>
      <c r="I18" s="26">
        <v>140.69999999999999</v>
      </c>
      <c r="J18" s="26">
        <v>131.69999999999999</v>
      </c>
      <c r="K18" s="26">
        <v>130.9</v>
      </c>
    </row>
    <row r="19" spans="1:14" x14ac:dyDescent="0.2">
      <c r="A19" s="22">
        <v>46082</v>
      </c>
      <c r="B19" s="26">
        <v>122.9</v>
      </c>
      <c r="C19" s="26">
        <v>115.4</v>
      </c>
      <c r="D19" s="26">
        <v>130.4</v>
      </c>
      <c r="E19" s="27">
        <f t="shared" si="0"/>
        <v>15</v>
      </c>
      <c r="F19" s="26">
        <v>129.19999999999999</v>
      </c>
      <c r="G19" s="26">
        <v>107.8</v>
      </c>
      <c r="H19" s="26">
        <v>109.2</v>
      </c>
      <c r="I19" s="26">
        <v>137.69999999999999</v>
      </c>
      <c r="J19" s="26">
        <v>128</v>
      </c>
      <c r="K19" s="26">
        <v>125.5</v>
      </c>
    </row>
    <row r="20" spans="1:14" x14ac:dyDescent="0.2">
      <c r="A20" s="22">
        <v>46113</v>
      </c>
      <c r="B20" s="26">
        <v>123</v>
      </c>
      <c r="C20" s="26">
        <v>116.5</v>
      </c>
      <c r="D20" s="26">
        <v>129.6</v>
      </c>
      <c r="E20" s="27">
        <f t="shared" si="0"/>
        <v>13.099999999999994</v>
      </c>
      <c r="F20" s="26">
        <v>128.1</v>
      </c>
      <c r="G20" s="26">
        <v>108.8</v>
      </c>
      <c r="H20" s="26">
        <v>112.6</v>
      </c>
      <c r="I20" s="26">
        <v>136.9</v>
      </c>
      <c r="J20" s="26">
        <v>127.7</v>
      </c>
      <c r="K20" s="26">
        <v>124.1</v>
      </c>
    </row>
    <row r="21" spans="1:14" x14ac:dyDescent="0.2">
      <c r="A21" s="22">
        <v>46143</v>
      </c>
      <c r="B21" s="26">
        <v>120.9</v>
      </c>
      <c r="C21" s="26">
        <v>112.2</v>
      </c>
      <c r="D21" s="26">
        <v>129.69999999999999</v>
      </c>
      <c r="E21" s="27">
        <f t="shared" si="0"/>
        <v>17.499999999999986</v>
      </c>
      <c r="F21" s="26">
        <v>123.2</v>
      </c>
      <c r="G21" s="26">
        <v>105</v>
      </c>
      <c r="H21" s="26">
        <v>108.3</v>
      </c>
      <c r="I21" s="26">
        <v>136.5</v>
      </c>
      <c r="J21" s="26">
        <v>128.1</v>
      </c>
      <c r="K21" s="26">
        <v>124.5</v>
      </c>
    </row>
    <row r="22" spans="1:14" x14ac:dyDescent="0.2">
      <c r="A22" s="22">
        <v>46174</v>
      </c>
      <c r="B22" s="26">
        <v>117.8</v>
      </c>
      <c r="C22" s="26">
        <v>109.2</v>
      </c>
      <c r="D22" s="26">
        <v>126.4</v>
      </c>
      <c r="E22" s="27">
        <f t="shared" si="0"/>
        <v>17.200000000000003</v>
      </c>
      <c r="F22" s="26">
        <v>119.8</v>
      </c>
      <c r="G22" s="26">
        <v>101.8</v>
      </c>
      <c r="H22" s="26">
        <v>105.9</v>
      </c>
      <c r="I22" s="26">
        <v>133.6</v>
      </c>
      <c r="J22" s="26">
        <v>124.4</v>
      </c>
      <c r="K22" s="26">
        <v>121.2</v>
      </c>
    </row>
    <row r="23" spans="1:14" x14ac:dyDescent="0.2">
      <c r="A23" s="22">
        <v>46204</v>
      </c>
      <c r="B23" s="26">
        <v>116.8</v>
      </c>
      <c r="C23" s="26">
        <v>107.9</v>
      </c>
      <c r="D23" s="26">
        <v>125.7</v>
      </c>
      <c r="E23" s="27">
        <f t="shared" si="0"/>
        <v>17.799999999999997</v>
      </c>
      <c r="F23" s="26">
        <v>118.5</v>
      </c>
      <c r="G23" s="26">
        <v>101.1</v>
      </c>
      <c r="H23" s="26">
        <v>104.1</v>
      </c>
      <c r="I23" s="26">
        <v>133.6</v>
      </c>
      <c r="J23" s="26">
        <v>123.1</v>
      </c>
      <c r="K23" s="26">
        <v>120.4</v>
      </c>
    </row>
    <row r="24" spans="1:14" x14ac:dyDescent="0.2">
      <c r="A24" s="22">
        <v>46235</v>
      </c>
      <c r="B24" s="26">
        <v>118.5</v>
      </c>
      <c r="C24" s="26">
        <v>109.4</v>
      </c>
      <c r="D24" s="26">
        <v>127.6</v>
      </c>
      <c r="E24" s="27">
        <f t="shared" si="0"/>
        <v>18.199999999999989</v>
      </c>
      <c r="F24" s="26">
        <v>118</v>
      </c>
      <c r="G24" s="26">
        <v>104.1</v>
      </c>
      <c r="H24" s="26">
        <v>106.1</v>
      </c>
      <c r="I24" s="26">
        <v>134.9</v>
      </c>
      <c r="J24" s="26">
        <v>125.7</v>
      </c>
      <c r="K24" s="26">
        <v>122.1</v>
      </c>
    </row>
    <row r="25" spans="1:14" x14ac:dyDescent="0.2">
      <c r="A25" s="22">
        <v>46266</v>
      </c>
      <c r="B25" s="26">
        <v>118.1</v>
      </c>
      <c r="C25" s="26">
        <v>107.5</v>
      </c>
      <c r="D25" s="26">
        <v>128.69999999999999</v>
      </c>
      <c r="E25" s="27">
        <f t="shared" si="0"/>
        <v>21.199999999999989</v>
      </c>
      <c r="F25" s="26">
        <v>114.6</v>
      </c>
      <c r="G25" s="26">
        <v>101.1</v>
      </c>
      <c r="H25" s="26">
        <v>106.7</v>
      </c>
      <c r="I25" s="26">
        <v>136.9</v>
      </c>
      <c r="J25" s="26">
        <v>127.7</v>
      </c>
      <c r="K25" s="26">
        <v>121.5</v>
      </c>
    </row>
    <row r="28" spans="1:14" x14ac:dyDescent="0.2">
      <c r="A28" s="3" t="s">
        <v>175</v>
      </c>
    </row>
    <row r="29" spans="1:14" ht="28" x14ac:dyDescent="0.2">
      <c r="A29" s="5" t="s">
        <v>133</v>
      </c>
      <c r="B29" s="5" t="s">
        <v>176</v>
      </c>
      <c r="C29" s="5" t="s">
        <v>177</v>
      </c>
      <c r="M29" s="2" t="s">
        <v>178</v>
      </c>
      <c r="N29" s="15">
        <f>AVERAGE(B42:B53)</f>
        <v>3.075E-2</v>
      </c>
    </row>
    <row r="30" spans="1:14" x14ac:dyDescent="0.2">
      <c r="A30" s="22">
        <v>45292</v>
      </c>
      <c r="B30" s="23">
        <v>1.0999999999999999E-2</v>
      </c>
      <c r="C30" s="2" t="s">
        <v>179</v>
      </c>
    </row>
    <row r="31" spans="1:14" x14ac:dyDescent="0.2">
      <c r="A31" s="22">
        <v>45323</v>
      </c>
      <c r="B31" s="23">
        <v>6.4000000000000001E-2</v>
      </c>
      <c r="C31" s="2" t="s">
        <v>179</v>
      </c>
    </row>
    <row r="32" spans="1:14" x14ac:dyDescent="0.2">
      <c r="A32" s="22">
        <v>45352</v>
      </c>
      <c r="B32" s="23">
        <v>9.3000000000000013E-2</v>
      </c>
      <c r="C32" s="2" t="s">
        <v>179</v>
      </c>
    </row>
    <row r="33" spans="1:3" x14ac:dyDescent="0.2">
      <c r="A33" s="22">
        <v>45383</v>
      </c>
      <c r="B33" s="23">
        <v>-2.7E-2</v>
      </c>
      <c r="C33" s="2" t="s">
        <v>179</v>
      </c>
    </row>
    <row r="34" spans="1:3" x14ac:dyDescent="0.2">
      <c r="A34" s="22">
        <v>45413</v>
      </c>
      <c r="B34" s="23">
        <v>2.1000000000000001E-2</v>
      </c>
      <c r="C34" s="2" t="s">
        <v>179</v>
      </c>
    </row>
    <row r="35" spans="1:3" x14ac:dyDescent="0.2">
      <c r="A35" s="22">
        <v>45444</v>
      </c>
      <c r="B35" s="23">
        <v>2.7E-2</v>
      </c>
      <c r="C35" s="2" t="s">
        <v>179</v>
      </c>
    </row>
    <row r="36" spans="1:3" x14ac:dyDescent="0.2">
      <c r="A36" s="22">
        <v>45474</v>
      </c>
      <c r="B36" s="23">
        <v>4.4999999999999998E-2</v>
      </c>
      <c r="C36" s="2" t="s">
        <v>179</v>
      </c>
    </row>
    <row r="37" spans="1:3" x14ac:dyDescent="0.2">
      <c r="A37" s="22">
        <v>45505</v>
      </c>
      <c r="B37" s="23">
        <v>5.8000000000000003E-2</v>
      </c>
      <c r="C37" s="2" t="s">
        <v>179</v>
      </c>
    </row>
    <row r="38" spans="1:3" x14ac:dyDescent="0.2">
      <c r="A38" s="22">
        <v>45536</v>
      </c>
      <c r="B38" s="23">
        <v>4.8000000000000001E-2</v>
      </c>
      <c r="C38" s="2" t="s">
        <v>179</v>
      </c>
    </row>
    <row r="39" spans="1:3" x14ac:dyDescent="0.2">
      <c r="A39" s="22">
        <v>45566</v>
      </c>
      <c r="B39" s="23">
        <v>1.4999999999999999E-2</v>
      </c>
      <c r="C39" s="2" t="s">
        <v>179</v>
      </c>
    </row>
    <row r="40" spans="1:3" x14ac:dyDescent="0.2">
      <c r="A40" s="22">
        <v>45597</v>
      </c>
      <c r="B40" s="23">
        <v>9.0000000000000011E-3</v>
      </c>
      <c r="C40" s="2" t="s">
        <v>179</v>
      </c>
    </row>
    <row r="41" spans="1:3" x14ac:dyDescent="0.2">
      <c r="A41" s="22">
        <v>45627</v>
      </c>
      <c r="B41" s="23">
        <v>1.7999999999999999E-2</v>
      </c>
      <c r="C41" s="2" t="s">
        <v>179</v>
      </c>
    </row>
    <row r="42" spans="1:3" x14ac:dyDescent="0.2">
      <c r="A42" s="22">
        <v>45658</v>
      </c>
      <c r="B42" s="23">
        <v>5.0000000000000001E-3</v>
      </c>
      <c r="C42" s="2" t="s">
        <v>179</v>
      </c>
    </row>
    <row r="43" spans="1:3" x14ac:dyDescent="0.2">
      <c r="A43" s="22">
        <v>45689</v>
      </c>
      <c r="B43" s="23">
        <v>0.02</v>
      </c>
      <c r="C43" s="2" t="s">
        <v>179</v>
      </c>
    </row>
    <row r="44" spans="1:3" x14ac:dyDescent="0.2">
      <c r="A44" s="22">
        <v>45717</v>
      </c>
      <c r="B44" s="23">
        <v>5.5E-2</v>
      </c>
      <c r="C44" s="2" t="s">
        <v>179</v>
      </c>
    </row>
    <row r="45" spans="1:3" x14ac:dyDescent="0.2">
      <c r="A45" s="22">
        <v>45748</v>
      </c>
      <c r="B45" s="23">
        <v>-3.0000000000000001E-3</v>
      </c>
      <c r="C45" s="2" t="s">
        <v>179</v>
      </c>
    </row>
    <row r="46" spans="1:3" x14ac:dyDescent="0.2">
      <c r="A46" s="22">
        <v>45778</v>
      </c>
      <c r="B46" s="23">
        <v>1.9E-2</v>
      </c>
      <c r="C46" s="2" t="s">
        <v>179</v>
      </c>
    </row>
    <row r="47" spans="1:3" x14ac:dyDescent="0.2">
      <c r="A47" s="22">
        <v>45809</v>
      </c>
      <c r="B47" s="23">
        <v>1.2999999999999999E-2</v>
      </c>
      <c r="C47" s="2" t="s">
        <v>179</v>
      </c>
    </row>
    <row r="48" spans="1:3" x14ac:dyDescent="0.2">
      <c r="A48" s="22">
        <v>45839</v>
      </c>
      <c r="B48" s="23">
        <v>4.7E-2</v>
      </c>
      <c r="C48" s="2" t="s">
        <v>179</v>
      </c>
    </row>
    <row r="49" spans="1:3" x14ac:dyDescent="0.2">
      <c r="A49" s="22">
        <v>45870</v>
      </c>
      <c r="B49" s="23">
        <v>3.5000000000000003E-2</v>
      </c>
      <c r="C49" s="2" t="s">
        <v>179</v>
      </c>
    </row>
    <row r="50" spans="1:3" x14ac:dyDescent="0.2">
      <c r="A50" s="22">
        <v>45901</v>
      </c>
      <c r="B50" s="23">
        <v>3.7000000000000012E-2</v>
      </c>
      <c r="C50" s="2" t="s">
        <v>179</v>
      </c>
    </row>
    <row r="51" spans="1:3" x14ac:dyDescent="0.2">
      <c r="A51" s="22">
        <v>45931</v>
      </c>
      <c r="B51" s="23">
        <v>4.2999999999999997E-2</v>
      </c>
      <c r="C51" s="2" t="s">
        <v>179</v>
      </c>
    </row>
    <row r="52" spans="1:3" x14ac:dyDescent="0.2">
      <c r="A52" s="22">
        <v>45962</v>
      </c>
      <c r="B52" s="23">
        <v>6.3E-2</v>
      </c>
      <c r="C52" s="2" t="s">
        <v>179</v>
      </c>
    </row>
    <row r="53" spans="1:3" x14ac:dyDescent="0.2">
      <c r="A53" s="22">
        <v>45992</v>
      </c>
      <c r="B53" s="23">
        <v>3.5000000000000003E-2</v>
      </c>
      <c r="C53" s="2" t="s">
        <v>179</v>
      </c>
    </row>
    <row r="54" spans="1:3" x14ac:dyDescent="0.2">
      <c r="A54" s="22">
        <v>46023</v>
      </c>
      <c r="B54" s="23">
        <v>5.7000000000000002E-2</v>
      </c>
      <c r="C54" s="2" t="s">
        <v>179</v>
      </c>
    </row>
    <row r="55" spans="1:3" x14ac:dyDescent="0.2">
      <c r="A55" s="22">
        <v>46054</v>
      </c>
      <c r="B55" s="23">
        <v>6.5000000000000002E-2</v>
      </c>
      <c r="C55" s="2" t="s">
        <v>179</v>
      </c>
    </row>
    <row r="56" spans="1:3" x14ac:dyDescent="0.2">
      <c r="A56" s="22">
        <v>46082</v>
      </c>
      <c r="B56" s="23">
        <v>3.4000000000000002E-2</v>
      </c>
      <c r="C56" s="2" t="s">
        <v>179</v>
      </c>
    </row>
    <row r="57" spans="1:3" x14ac:dyDescent="0.2">
      <c r="A57" s="22">
        <v>46113</v>
      </c>
      <c r="B57" s="23">
        <v>-3.7000000000000012E-2</v>
      </c>
      <c r="C57" s="2" t="s">
        <v>179</v>
      </c>
    </row>
    <row r="58" spans="1:3" x14ac:dyDescent="0.2">
      <c r="A58" s="22">
        <v>46143</v>
      </c>
      <c r="B58" s="23">
        <v>-3.9E-2</v>
      </c>
      <c r="C58" s="2" t="s">
        <v>179</v>
      </c>
    </row>
    <row r="59" spans="1:3" x14ac:dyDescent="0.2">
      <c r="A59" s="22">
        <v>46174</v>
      </c>
      <c r="B59" s="23">
        <v>-0.03</v>
      </c>
      <c r="C59" s="2" t="s">
        <v>179</v>
      </c>
    </row>
    <row r="60" spans="1:3" x14ac:dyDescent="0.2">
      <c r="A60" s="22">
        <v>46204</v>
      </c>
      <c r="B60" s="23">
        <v>1.0999999999999999E-2</v>
      </c>
      <c r="C60" s="2" t="s">
        <v>179</v>
      </c>
    </row>
    <row r="61" spans="1:3" x14ac:dyDescent="0.2">
      <c r="A61" s="22">
        <v>46235</v>
      </c>
      <c r="B61" s="23">
        <v>1.2999999999999999E-2</v>
      </c>
      <c r="C61" s="2" t="s">
        <v>180</v>
      </c>
    </row>
    <row r="62" spans="1:3" x14ac:dyDescent="0.2">
      <c r="A62" s="22">
        <v>46266</v>
      </c>
      <c r="B62" s="23">
        <v>1.4E-2</v>
      </c>
      <c r="C62" s="2" t="s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27"/>
  <sheetViews>
    <sheetView workbookViewId="0"/>
  </sheetViews>
  <sheetFormatPr baseColWidth="10" defaultColWidth="8.83203125" defaultRowHeight="15" x14ac:dyDescent="0.2"/>
  <cols>
    <col min="1" max="1" width="11" customWidth="1"/>
    <col min="2" max="6" width="8" customWidth="1"/>
    <col min="7" max="7" width="10" customWidth="1"/>
    <col min="8" max="11" width="7" customWidth="1"/>
    <col min="12" max="12" width="8" customWidth="1"/>
    <col min="13" max="13" width="10" customWidth="1"/>
    <col min="14" max="16" width="3" customWidth="1"/>
    <col min="17" max="17" width="24" customWidth="1"/>
    <col min="18" max="18" width="9" customWidth="1"/>
    <col min="19" max="20" width="3" customWidth="1"/>
    <col min="21" max="21" width="12" customWidth="1"/>
    <col min="22" max="22" width="11" customWidth="1"/>
    <col min="23" max="23" width="13" customWidth="1"/>
  </cols>
  <sheetData>
    <row r="1" spans="1:23" ht="16" x14ac:dyDescent="0.2">
      <c r="A1" s="1" t="s">
        <v>182</v>
      </c>
    </row>
    <row r="2" spans="1:23" x14ac:dyDescent="0.2">
      <c r="A2" s="4" t="s">
        <v>183</v>
      </c>
    </row>
    <row r="3" spans="1:23" x14ac:dyDescent="0.2">
      <c r="A3" s="4" t="s">
        <v>184</v>
      </c>
    </row>
    <row r="5" spans="1:23" ht="28" x14ac:dyDescent="0.2">
      <c r="A5" s="5" t="s">
        <v>22</v>
      </c>
      <c r="B5" s="5" t="s">
        <v>185</v>
      </c>
      <c r="C5" s="5" t="s">
        <v>186</v>
      </c>
      <c r="D5" s="5" t="s">
        <v>187</v>
      </c>
      <c r="E5" s="5" t="s">
        <v>188</v>
      </c>
      <c r="F5" s="5" t="s">
        <v>189</v>
      </c>
      <c r="G5" s="5" t="s">
        <v>190</v>
      </c>
      <c r="H5" s="5" t="s">
        <v>191</v>
      </c>
      <c r="I5" s="5" t="s">
        <v>192</v>
      </c>
      <c r="J5" s="5" t="s">
        <v>193</v>
      </c>
      <c r="K5" s="5" t="s">
        <v>194</v>
      </c>
      <c r="L5" s="5" t="s">
        <v>195</v>
      </c>
      <c r="M5" s="5" t="s">
        <v>196</v>
      </c>
      <c r="U5" s="5" t="s">
        <v>197</v>
      </c>
      <c r="V5" s="5" t="s">
        <v>198</v>
      </c>
      <c r="W5" s="5" t="s">
        <v>137</v>
      </c>
    </row>
    <row r="6" spans="1:23" x14ac:dyDescent="0.2">
      <c r="A6" s="6">
        <v>42657</v>
      </c>
      <c r="B6" s="16">
        <v>18.7441</v>
      </c>
      <c r="C6" s="16">
        <v>13.399800000000001</v>
      </c>
      <c r="D6" s="16">
        <v>13.9573</v>
      </c>
      <c r="E6" s="16">
        <v>19.728300000000001</v>
      </c>
      <c r="F6" s="16">
        <v>13.211</v>
      </c>
      <c r="G6" s="29">
        <f t="shared" ref="G6:G69" si="0">$R$6</f>
        <v>15.518737739463592</v>
      </c>
      <c r="H6" s="17">
        <f t="shared" ref="H6:H69" si="1">$R$6+$R$7</f>
        <v>18.188893048271389</v>
      </c>
      <c r="I6" s="17">
        <f t="shared" ref="I6:I69" si="2">$R$6-$R$7</f>
        <v>12.848582430655794</v>
      </c>
      <c r="J6" s="17">
        <f t="shared" ref="J6:J69" si="3">$R$6+2*$R$7</f>
        <v>20.859048357079189</v>
      </c>
      <c r="K6" s="17">
        <f t="shared" ref="K6:K69" si="4">$R$6-2*$R$7</f>
        <v>10.178427121847996</v>
      </c>
      <c r="L6" s="17">
        <f t="shared" ref="L6:L69" si="5">(B6-$R$6)/$R$7</f>
        <v>1.2079305836245549</v>
      </c>
      <c r="M6" s="11">
        <f t="shared" ref="M6:M69" si="6">IF(AND(ISNUMBER(B6),ISNUMBER(C6)),B6/C6-1,"")</f>
        <v>0.39883431095986488</v>
      </c>
      <c r="Q6" s="2" t="s">
        <v>199</v>
      </c>
      <c r="R6" s="19">
        <f>AVERAGE(B6:B527)</f>
        <v>15.518737739463592</v>
      </c>
      <c r="U6" s="6">
        <v>45835</v>
      </c>
      <c r="V6" s="9">
        <v>6178.96</v>
      </c>
      <c r="W6" s="24">
        <f t="shared" ref="W6:W37" si="7">V6/INDEX($B$6:$B$527,MATCH(U6,$A$6:$A$527,0))</f>
        <v>524.41396635717069</v>
      </c>
    </row>
    <row r="7" spans="1:23" x14ac:dyDescent="0.2">
      <c r="A7" s="6">
        <v>42664</v>
      </c>
      <c r="B7" s="16">
        <v>18.7165</v>
      </c>
      <c r="C7" s="16">
        <v>13.6427</v>
      </c>
      <c r="D7" s="16">
        <v>14.072800000000001</v>
      </c>
      <c r="E7" s="16">
        <v>19.908200000000001</v>
      </c>
      <c r="F7" s="16">
        <v>13.3642</v>
      </c>
      <c r="G7" s="29">
        <f t="shared" si="0"/>
        <v>15.518737739463592</v>
      </c>
      <c r="H7" s="17">
        <f t="shared" si="1"/>
        <v>18.188893048271389</v>
      </c>
      <c r="I7" s="17">
        <f t="shared" si="2"/>
        <v>12.848582430655794</v>
      </c>
      <c r="J7" s="17">
        <f t="shared" si="3"/>
        <v>20.859048357079189</v>
      </c>
      <c r="K7" s="17">
        <f t="shared" si="4"/>
        <v>10.178427121847996</v>
      </c>
      <c r="L7" s="17">
        <f t="shared" si="5"/>
        <v>1.1975941062260462</v>
      </c>
      <c r="M7" s="11">
        <f t="shared" si="6"/>
        <v>0.37190585441298274</v>
      </c>
      <c r="Q7" s="2" t="s">
        <v>200</v>
      </c>
      <c r="R7" s="19">
        <f>STDEVP(B6:B527)</f>
        <v>2.6701553088077983</v>
      </c>
      <c r="U7" s="6">
        <v>45842</v>
      </c>
      <c r="V7" s="9">
        <v>6091.49</v>
      </c>
      <c r="W7" s="24">
        <f t="shared" si="7"/>
        <v>497.82123681178132</v>
      </c>
    </row>
    <row r="8" spans="1:23" x14ac:dyDescent="0.2">
      <c r="A8" s="6">
        <v>42671</v>
      </c>
      <c r="B8" s="16">
        <v>18.6006</v>
      </c>
      <c r="C8" s="16">
        <v>13.5526</v>
      </c>
      <c r="D8" s="16">
        <v>13.9711</v>
      </c>
      <c r="E8" s="16">
        <v>19.580500000000001</v>
      </c>
      <c r="F8" s="16">
        <v>13.1051</v>
      </c>
      <c r="G8" s="29">
        <f t="shared" si="0"/>
        <v>15.518737739463592</v>
      </c>
      <c r="H8" s="17">
        <f t="shared" si="1"/>
        <v>18.188893048271389</v>
      </c>
      <c r="I8" s="17">
        <f t="shared" si="2"/>
        <v>12.848582430655794</v>
      </c>
      <c r="J8" s="17">
        <f t="shared" si="3"/>
        <v>20.859048357079189</v>
      </c>
      <c r="K8" s="17">
        <f t="shared" si="4"/>
        <v>10.178427121847996</v>
      </c>
      <c r="L8" s="17">
        <f t="shared" si="5"/>
        <v>1.1541883913533229</v>
      </c>
      <c r="M8" s="11">
        <f t="shared" si="6"/>
        <v>0.37247465430987403</v>
      </c>
      <c r="Q8" s="2" t="s">
        <v>201</v>
      </c>
      <c r="R8" s="19">
        <f>B527</f>
        <v>9.2078000000000007</v>
      </c>
      <c r="U8" s="6">
        <v>45849</v>
      </c>
      <c r="V8" s="9">
        <v>6248.64</v>
      </c>
      <c r="W8" s="24">
        <f t="shared" si="7"/>
        <v>498.01071155317521</v>
      </c>
    </row>
    <row r="9" spans="1:23" x14ac:dyDescent="0.2">
      <c r="A9" s="6">
        <v>42678</v>
      </c>
      <c r="B9" s="16">
        <v>18.301400000000001</v>
      </c>
      <c r="C9" s="16">
        <v>13.2225</v>
      </c>
      <c r="D9" s="16">
        <v>13.707100000000001</v>
      </c>
      <c r="E9" s="16">
        <v>18.972999999999999</v>
      </c>
      <c r="F9" s="16">
        <v>12.865</v>
      </c>
      <c r="G9" s="29">
        <f t="shared" si="0"/>
        <v>15.518737739463592</v>
      </c>
      <c r="H9" s="17">
        <f t="shared" si="1"/>
        <v>18.188893048271389</v>
      </c>
      <c r="I9" s="17">
        <f t="shared" si="2"/>
        <v>12.848582430655794</v>
      </c>
      <c r="J9" s="17">
        <f t="shared" si="3"/>
        <v>20.859048357079189</v>
      </c>
      <c r="K9" s="17">
        <f t="shared" si="4"/>
        <v>10.178427121847996</v>
      </c>
      <c r="L9" s="17">
        <f t="shared" si="5"/>
        <v>1.0421349841926775</v>
      </c>
      <c r="M9" s="11">
        <f t="shared" si="6"/>
        <v>0.38411041784836453</v>
      </c>
      <c r="Q9" s="2" t="s">
        <v>202</v>
      </c>
      <c r="R9" s="19">
        <f>L527</f>
        <v>-2.3635096125855584</v>
      </c>
      <c r="U9" s="6">
        <v>45856</v>
      </c>
      <c r="V9" s="9">
        <v>6182.23</v>
      </c>
      <c r="W9" s="24">
        <f t="shared" si="7"/>
        <v>498.10899656767162</v>
      </c>
    </row>
    <row r="10" spans="1:23" x14ac:dyDescent="0.2">
      <c r="A10" s="6">
        <v>42685</v>
      </c>
      <c r="B10" s="16">
        <v>17.465800000000002</v>
      </c>
      <c r="C10" s="16">
        <v>12.8567</v>
      </c>
      <c r="D10" s="16">
        <v>13.4338</v>
      </c>
      <c r="E10" s="16">
        <v>18.209900000000001</v>
      </c>
      <c r="F10" s="16">
        <v>12.7661</v>
      </c>
      <c r="G10" s="29">
        <f t="shared" si="0"/>
        <v>15.518737739463592</v>
      </c>
      <c r="H10" s="17">
        <f t="shared" si="1"/>
        <v>18.188893048271389</v>
      </c>
      <c r="I10" s="17">
        <f t="shared" si="2"/>
        <v>12.848582430655794</v>
      </c>
      <c r="J10" s="17">
        <f t="shared" si="3"/>
        <v>20.859048357079189</v>
      </c>
      <c r="K10" s="17">
        <f t="shared" si="4"/>
        <v>10.178427121847996</v>
      </c>
      <c r="L10" s="17">
        <f t="shared" si="5"/>
        <v>0.72919438585231811</v>
      </c>
      <c r="M10" s="11">
        <f t="shared" si="6"/>
        <v>0.35849790381668711</v>
      </c>
      <c r="Q10" s="2" t="s">
        <v>203</v>
      </c>
      <c r="R10" s="19">
        <f>MIN(B6:B527)</f>
        <v>8.6738999999999997</v>
      </c>
      <c r="U10" s="6">
        <v>45863</v>
      </c>
      <c r="V10" s="9">
        <v>6241.81</v>
      </c>
      <c r="W10" s="24">
        <f t="shared" si="7"/>
        <v>496.29556007887538</v>
      </c>
    </row>
    <row r="11" spans="1:23" x14ac:dyDescent="0.2">
      <c r="A11" s="6">
        <v>42692</v>
      </c>
      <c r="B11" s="16">
        <v>17.3369</v>
      </c>
      <c r="C11" s="16">
        <v>12.9331</v>
      </c>
      <c r="D11" s="16">
        <v>13.4358</v>
      </c>
      <c r="E11" s="16">
        <v>18.119900000000001</v>
      </c>
      <c r="F11" s="16">
        <v>12.757899999999999</v>
      </c>
      <c r="G11" s="29">
        <f t="shared" si="0"/>
        <v>15.518737739463592</v>
      </c>
      <c r="H11" s="17">
        <f t="shared" si="1"/>
        <v>18.188893048271389</v>
      </c>
      <c r="I11" s="17">
        <f t="shared" si="2"/>
        <v>12.848582430655794</v>
      </c>
      <c r="J11" s="17">
        <f t="shared" si="3"/>
        <v>20.859048357079189</v>
      </c>
      <c r="K11" s="17">
        <f t="shared" si="4"/>
        <v>10.178427121847996</v>
      </c>
      <c r="L11" s="17">
        <f t="shared" si="5"/>
        <v>0.68092004032087616</v>
      </c>
      <c r="M11" s="11">
        <f t="shared" si="6"/>
        <v>0.34050614315206729</v>
      </c>
      <c r="Q11" s="2" t="s">
        <v>204</v>
      </c>
      <c r="R11" s="15">
        <f>PERCENTRANK(B6:B527,B527)</f>
        <v>5.0000000000000001E-3</v>
      </c>
      <c r="U11" s="6">
        <v>45870</v>
      </c>
      <c r="V11" s="9">
        <v>6229.56</v>
      </c>
      <c r="W11" s="24">
        <f t="shared" si="7"/>
        <v>493.0165563962139</v>
      </c>
    </row>
    <row r="12" spans="1:23" x14ac:dyDescent="0.2">
      <c r="A12" s="6">
        <v>42699</v>
      </c>
      <c r="B12" s="16">
        <v>16.892199999999999</v>
      </c>
      <c r="C12" s="16">
        <v>13.209</v>
      </c>
      <c r="D12" s="16">
        <v>13.692299999999999</v>
      </c>
      <c r="E12" s="16">
        <v>18.450299999999999</v>
      </c>
      <c r="F12" s="16">
        <v>13.1326</v>
      </c>
      <c r="G12" s="29">
        <f t="shared" si="0"/>
        <v>15.518737739463592</v>
      </c>
      <c r="H12" s="17">
        <f t="shared" si="1"/>
        <v>18.188893048271389</v>
      </c>
      <c r="I12" s="17">
        <f t="shared" si="2"/>
        <v>12.848582430655794</v>
      </c>
      <c r="J12" s="17">
        <f t="shared" si="3"/>
        <v>20.859048357079189</v>
      </c>
      <c r="K12" s="17">
        <f t="shared" si="4"/>
        <v>10.178427121847996</v>
      </c>
      <c r="L12" s="17">
        <f t="shared" si="5"/>
        <v>0.51437542078765675</v>
      </c>
      <c r="M12" s="11">
        <f t="shared" si="6"/>
        <v>0.27884018472253769</v>
      </c>
      <c r="Q12" s="2" t="s">
        <v>205</v>
      </c>
      <c r="R12" s="15">
        <f>M527</f>
        <v>-0.19178779580085659</v>
      </c>
      <c r="U12" s="6">
        <v>45877</v>
      </c>
      <c r="V12" s="9">
        <v>6157.08</v>
      </c>
      <c r="W12" s="24">
        <f t="shared" si="7"/>
        <v>490.22508499406837</v>
      </c>
    </row>
    <row r="13" spans="1:23" x14ac:dyDescent="0.2">
      <c r="A13" s="6">
        <v>42706</v>
      </c>
      <c r="B13" s="16">
        <v>17.566400000000002</v>
      </c>
      <c r="C13" s="16">
        <v>13.157299999999999</v>
      </c>
      <c r="D13" s="16">
        <v>13.6511</v>
      </c>
      <c r="E13" s="16">
        <v>18.221900000000002</v>
      </c>
      <c r="F13" s="16">
        <v>13.0105</v>
      </c>
      <c r="G13" s="29">
        <f t="shared" si="0"/>
        <v>15.518737739463592</v>
      </c>
      <c r="H13" s="17">
        <f t="shared" si="1"/>
        <v>18.188893048271389</v>
      </c>
      <c r="I13" s="17">
        <f t="shared" si="2"/>
        <v>12.848582430655794</v>
      </c>
      <c r="J13" s="17">
        <f t="shared" si="3"/>
        <v>20.859048357079189</v>
      </c>
      <c r="K13" s="17">
        <f t="shared" si="4"/>
        <v>10.178427121847996</v>
      </c>
      <c r="L13" s="17">
        <f t="shared" si="5"/>
        <v>0.76687009694978114</v>
      </c>
      <c r="M13" s="11">
        <f t="shared" si="6"/>
        <v>0.33510674682495667</v>
      </c>
      <c r="Q13" s="2" t="s">
        <v>206</v>
      </c>
      <c r="R13" s="15">
        <f>AVERAGE(M6:M527)</f>
        <v>0.15555197665382869</v>
      </c>
      <c r="U13" s="6">
        <v>45884</v>
      </c>
      <c r="V13" s="9">
        <v>6451.71</v>
      </c>
      <c r="W13" s="24">
        <f t="shared" si="7"/>
        <v>489.84951559510432</v>
      </c>
    </row>
    <row r="14" spans="1:23" x14ac:dyDescent="0.2">
      <c r="A14" s="6">
        <v>42713</v>
      </c>
      <c r="B14" s="16">
        <v>17.825500000000002</v>
      </c>
      <c r="C14" s="16">
        <v>13.5421</v>
      </c>
      <c r="D14" s="16">
        <v>13.884</v>
      </c>
      <c r="E14" s="16">
        <v>18.632400000000001</v>
      </c>
      <c r="F14" s="16">
        <v>13.129899999999999</v>
      </c>
      <c r="G14" s="29">
        <f t="shared" si="0"/>
        <v>15.518737739463592</v>
      </c>
      <c r="H14" s="17">
        <f t="shared" si="1"/>
        <v>18.188893048271389</v>
      </c>
      <c r="I14" s="17">
        <f t="shared" si="2"/>
        <v>12.848582430655794</v>
      </c>
      <c r="J14" s="17">
        <f t="shared" si="3"/>
        <v>20.859048357079189</v>
      </c>
      <c r="K14" s="17">
        <f t="shared" si="4"/>
        <v>10.178427121847996</v>
      </c>
      <c r="L14" s="17">
        <f t="shared" si="5"/>
        <v>0.86390565107853567</v>
      </c>
      <c r="M14" s="11">
        <f t="shared" si="6"/>
        <v>0.31630249370481689</v>
      </c>
      <c r="Q14" s="2" t="s">
        <v>207</v>
      </c>
      <c r="R14" s="19">
        <f>(C527-AVERAGE(C6:C527))/STDEVP(C6:C527)</f>
        <v>-1.05316728303227</v>
      </c>
      <c r="U14" s="6">
        <v>45891</v>
      </c>
      <c r="V14" s="9">
        <v>6426.25</v>
      </c>
      <c r="W14" s="24">
        <f t="shared" si="7"/>
        <v>488.75139751907091</v>
      </c>
    </row>
    <row r="15" spans="1:23" x14ac:dyDescent="0.2">
      <c r="A15" s="6">
        <v>42720</v>
      </c>
      <c r="B15" s="16">
        <v>17.4529</v>
      </c>
      <c r="C15" s="16">
        <v>13.185600000000001</v>
      </c>
      <c r="D15" s="16">
        <v>13.5791</v>
      </c>
      <c r="E15" s="16">
        <v>18.395800000000001</v>
      </c>
      <c r="F15" s="16">
        <v>12.6526</v>
      </c>
      <c r="G15" s="29">
        <f t="shared" si="0"/>
        <v>15.518737739463592</v>
      </c>
      <c r="H15" s="17">
        <f t="shared" si="1"/>
        <v>18.188893048271389</v>
      </c>
      <c r="I15" s="17">
        <f t="shared" si="2"/>
        <v>12.848582430655794</v>
      </c>
      <c r="J15" s="17">
        <f t="shared" si="3"/>
        <v>20.859048357079189</v>
      </c>
      <c r="K15" s="17">
        <f t="shared" si="4"/>
        <v>10.178427121847996</v>
      </c>
      <c r="L15" s="17">
        <f t="shared" si="5"/>
        <v>0.72436320619866656</v>
      </c>
      <c r="M15" s="11">
        <f t="shared" si="6"/>
        <v>0.32363335760223255</v>
      </c>
      <c r="Q15" s="2" t="s">
        <v>208</v>
      </c>
      <c r="R15" s="19">
        <f>(D527-AVERAGE(D6:D527))/STDEVP(D6:D527)</f>
        <v>-1.3285527252390539</v>
      </c>
      <c r="U15" s="6">
        <v>45898</v>
      </c>
      <c r="V15" s="9">
        <v>6212.45</v>
      </c>
      <c r="W15" s="24">
        <f t="shared" si="7"/>
        <v>461.91279908397399</v>
      </c>
    </row>
    <row r="16" spans="1:23" x14ac:dyDescent="0.2">
      <c r="A16" s="6">
        <v>42727</v>
      </c>
      <c r="B16" s="16">
        <v>16.719200000000001</v>
      </c>
      <c r="C16" s="16">
        <v>12.9793</v>
      </c>
      <c r="D16" s="16">
        <v>13.3033</v>
      </c>
      <c r="E16" s="16">
        <v>17.9603</v>
      </c>
      <c r="F16" s="16">
        <v>12.385400000000001</v>
      </c>
      <c r="G16" s="29">
        <f t="shared" si="0"/>
        <v>15.518737739463592</v>
      </c>
      <c r="H16" s="17">
        <f t="shared" si="1"/>
        <v>18.188893048271389</v>
      </c>
      <c r="I16" s="17">
        <f t="shared" si="2"/>
        <v>12.848582430655794</v>
      </c>
      <c r="J16" s="17">
        <f t="shared" si="3"/>
        <v>20.859048357079189</v>
      </c>
      <c r="K16" s="17">
        <f t="shared" si="4"/>
        <v>10.178427121847996</v>
      </c>
      <c r="L16" s="17">
        <f t="shared" si="5"/>
        <v>0.44958518202164227</v>
      </c>
      <c r="M16" s="11">
        <f t="shared" si="6"/>
        <v>0.28814342838211626</v>
      </c>
      <c r="Q16" s="2" t="s">
        <v>209</v>
      </c>
      <c r="R16" s="19">
        <f>(E527-AVERAGE(E6:E527))/STDEVP(E6:E527)</f>
        <v>-0.49082573160675219</v>
      </c>
      <c r="U16" s="6">
        <v>45905</v>
      </c>
      <c r="V16" s="9">
        <v>6220.5</v>
      </c>
      <c r="W16" s="24">
        <f t="shared" si="7"/>
        <v>463.63514399856894</v>
      </c>
    </row>
    <row r="17" spans="1:23" x14ac:dyDescent="0.2">
      <c r="A17" s="6">
        <v>42734</v>
      </c>
      <c r="B17" s="16">
        <v>17.9208</v>
      </c>
      <c r="C17" s="16">
        <v>13.3308</v>
      </c>
      <c r="D17" s="16">
        <v>13.5884</v>
      </c>
      <c r="E17" s="16">
        <v>18.4513</v>
      </c>
      <c r="F17" s="16">
        <v>12.7323</v>
      </c>
      <c r="G17" s="29">
        <f t="shared" si="0"/>
        <v>15.518737739463592</v>
      </c>
      <c r="H17" s="17">
        <f t="shared" si="1"/>
        <v>18.188893048271389</v>
      </c>
      <c r="I17" s="17">
        <f t="shared" si="2"/>
        <v>12.848582430655794</v>
      </c>
      <c r="J17" s="17">
        <f t="shared" si="3"/>
        <v>20.859048357079189</v>
      </c>
      <c r="K17" s="17">
        <f t="shared" si="4"/>
        <v>10.178427121847996</v>
      </c>
      <c r="L17" s="17">
        <f t="shared" si="5"/>
        <v>0.89959645890744377</v>
      </c>
      <c r="M17" s="11">
        <f t="shared" si="6"/>
        <v>0.34431541992978665</v>
      </c>
      <c r="Q17" s="2" t="s">
        <v>210</v>
      </c>
      <c r="R17" s="19">
        <f>(F527-AVERAGE(F6:F527))/STDEVP(F6:F527)</f>
        <v>-0.80093241321261832</v>
      </c>
      <c r="U17" s="6">
        <v>45912</v>
      </c>
      <c r="V17" s="9">
        <v>6230.25</v>
      </c>
      <c r="W17" s="24">
        <f t="shared" si="7"/>
        <v>464.10932576485578</v>
      </c>
    </row>
    <row r="18" spans="1:23" x14ac:dyDescent="0.2">
      <c r="A18" s="6">
        <v>42741</v>
      </c>
      <c r="B18" s="16">
        <v>18.2013</v>
      </c>
      <c r="C18" s="16">
        <v>13.6351</v>
      </c>
      <c r="D18" s="16">
        <v>13.938000000000001</v>
      </c>
      <c r="E18" s="16">
        <v>18.805399999999999</v>
      </c>
      <c r="F18" s="16">
        <v>13.093500000000001</v>
      </c>
      <c r="G18" s="29">
        <f t="shared" si="0"/>
        <v>15.518737739463592</v>
      </c>
      <c r="H18" s="17">
        <f t="shared" si="1"/>
        <v>18.188893048271389</v>
      </c>
      <c r="I18" s="17">
        <f t="shared" si="2"/>
        <v>12.848582430655794</v>
      </c>
      <c r="J18" s="17">
        <f t="shared" si="3"/>
        <v>20.859048357079189</v>
      </c>
      <c r="K18" s="17">
        <f t="shared" si="4"/>
        <v>10.178427121847996</v>
      </c>
      <c r="L18" s="17">
        <f t="shared" si="5"/>
        <v>1.0046465281205492</v>
      </c>
      <c r="M18" s="11">
        <f t="shared" si="6"/>
        <v>0.33488569940814528</v>
      </c>
      <c r="U18" s="6">
        <v>45919</v>
      </c>
      <c r="V18" s="9">
        <v>6309.75</v>
      </c>
      <c r="W18" s="24">
        <f t="shared" si="7"/>
        <v>440.22842551053867</v>
      </c>
    </row>
    <row r="19" spans="1:23" x14ac:dyDescent="0.2">
      <c r="A19" s="6">
        <v>42748</v>
      </c>
      <c r="B19" s="16">
        <v>17.872199999999999</v>
      </c>
      <c r="C19" s="16">
        <v>13.8812</v>
      </c>
      <c r="D19" s="16">
        <v>14.1829</v>
      </c>
      <c r="E19" s="16">
        <v>19.1692</v>
      </c>
      <c r="F19" s="16">
        <v>13.346399999999999</v>
      </c>
      <c r="G19" s="29">
        <f t="shared" si="0"/>
        <v>15.518737739463592</v>
      </c>
      <c r="H19" s="17">
        <f t="shared" si="1"/>
        <v>18.188893048271389</v>
      </c>
      <c r="I19" s="17">
        <f t="shared" si="2"/>
        <v>12.848582430655794</v>
      </c>
      <c r="J19" s="17">
        <f t="shared" si="3"/>
        <v>20.859048357079189</v>
      </c>
      <c r="K19" s="17">
        <f t="shared" si="4"/>
        <v>10.178427121847996</v>
      </c>
      <c r="L19" s="17">
        <f t="shared" si="5"/>
        <v>0.88139527044485211</v>
      </c>
      <c r="M19" s="11">
        <f t="shared" si="6"/>
        <v>0.28751116618159811</v>
      </c>
      <c r="U19" s="6">
        <v>45926</v>
      </c>
      <c r="V19" s="9">
        <v>6209.19</v>
      </c>
      <c r="W19" s="24">
        <f t="shared" si="7"/>
        <v>436.32971434594708</v>
      </c>
    </row>
    <row r="20" spans="1:23" x14ac:dyDescent="0.2">
      <c r="A20" s="6">
        <v>42755</v>
      </c>
      <c r="B20" s="16">
        <v>17.760999999999999</v>
      </c>
      <c r="C20" s="16">
        <v>13.754</v>
      </c>
      <c r="D20" s="16">
        <v>14.1374</v>
      </c>
      <c r="E20" s="16">
        <v>19.091200000000001</v>
      </c>
      <c r="F20" s="16">
        <v>13.2943</v>
      </c>
      <c r="G20" s="29">
        <f t="shared" si="0"/>
        <v>15.518737739463592</v>
      </c>
      <c r="H20" s="17">
        <f t="shared" si="1"/>
        <v>18.188893048271389</v>
      </c>
      <c r="I20" s="17">
        <f t="shared" si="2"/>
        <v>12.848582430655794</v>
      </c>
      <c r="J20" s="17">
        <f t="shared" si="3"/>
        <v>20.859048357079189</v>
      </c>
      <c r="K20" s="17">
        <f t="shared" si="4"/>
        <v>10.178427121847996</v>
      </c>
      <c r="L20" s="17">
        <f t="shared" si="5"/>
        <v>0.83974975281028053</v>
      </c>
      <c r="M20" s="11">
        <f t="shared" si="6"/>
        <v>0.29133343027482916</v>
      </c>
      <c r="U20" s="6">
        <v>45933</v>
      </c>
      <c r="V20" s="9">
        <v>6057.58</v>
      </c>
      <c r="W20" s="24">
        <f t="shared" si="7"/>
        <v>434.93975903614455</v>
      </c>
    </row>
    <row r="21" spans="1:23" x14ac:dyDescent="0.2">
      <c r="A21" s="6">
        <v>42762</v>
      </c>
      <c r="B21" s="16">
        <v>17.9712</v>
      </c>
      <c r="C21" s="16">
        <v>14.2509</v>
      </c>
      <c r="D21" s="16">
        <v>14.566000000000001</v>
      </c>
      <c r="E21" s="16">
        <v>19.788699999999999</v>
      </c>
      <c r="F21" s="16">
        <v>13.633699999999999</v>
      </c>
      <c r="G21" s="29">
        <f t="shared" si="0"/>
        <v>15.518737739463592</v>
      </c>
      <c r="H21" s="17">
        <f t="shared" si="1"/>
        <v>18.188893048271389</v>
      </c>
      <c r="I21" s="17">
        <f t="shared" si="2"/>
        <v>12.848582430655794</v>
      </c>
      <c r="J21" s="17">
        <f t="shared" si="3"/>
        <v>20.859048357079189</v>
      </c>
      <c r="K21" s="17">
        <f t="shared" si="4"/>
        <v>10.178427121847996</v>
      </c>
      <c r="L21" s="17">
        <f t="shared" si="5"/>
        <v>0.91847176546124232</v>
      </c>
      <c r="M21" s="11">
        <f t="shared" si="6"/>
        <v>0.2610571963875965</v>
      </c>
      <c r="U21" s="6">
        <v>45940</v>
      </c>
      <c r="V21" s="9">
        <v>6147.96</v>
      </c>
      <c r="W21" s="24">
        <f t="shared" si="7"/>
        <v>433.77054038226811</v>
      </c>
    </row>
    <row r="22" spans="1:23" x14ac:dyDescent="0.2">
      <c r="A22" s="6">
        <v>42769</v>
      </c>
      <c r="B22" s="16">
        <v>18.107600000000001</v>
      </c>
      <c r="C22" s="16">
        <v>14.3414</v>
      </c>
      <c r="D22" s="16">
        <v>14.5901</v>
      </c>
      <c r="E22" s="16">
        <v>19.9724</v>
      </c>
      <c r="F22" s="16">
        <v>13.5578</v>
      </c>
      <c r="G22" s="29">
        <f t="shared" si="0"/>
        <v>15.518737739463592</v>
      </c>
      <c r="H22" s="17">
        <f t="shared" si="1"/>
        <v>18.188893048271389</v>
      </c>
      <c r="I22" s="17">
        <f t="shared" si="2"/>
        <v>12.848582430655794</v>
      </c>
      <c r="J22" s="17">
        <f t="shared" si="3"/>
        <v>20.859048357079189</v>
      </c>
      <c r="K22" s="17">
        <f t="shared" si="4"/>
        <v>10.178427121847996</v>
      </c>
      <c r="L22" s="17">
        <f t="shared" si="5"/>
        <v>0.96955493637271395</v>
      </c>
      <c r="M22" s="11">
        <f t="shared" si="6"/>
        <v>0.26261034487567469</v>
      </c>
      <c r="U22" s="6">
        <v>45947</v>
      </c>
      <c r="V22" s="9">
        <v>5972.56</v>
      </c>
      <c r="W22" s="24">
        <f t="shared" si="7"/>
        <v>433.19286589832677</v>
      </c>
    </row>
    <row r="23" spans="1:23" x14ac:dyDescent="0.2">
      <c r="A23" s="6">
        <v>42776</v>
      </c>
      <c r="B23" s="16">
        <v>18.132899999999999</v>
      </c>
      <c r="C23" s="16">
        <v>14.290800000000001</v>
      </c>
      <c r="D23" s="16">
        <v>14.5731</v>
      </c>
      <c r="E23" s="16">
        <v>20.254200000000001</v>
      </c>
      <c r="F23" s="16">
        <v>13.948399999999999</v>
      </c>
      <c r="G23" s="29">
        <f t="shared" si="0"/>
        <v>15.518737739463592</v>
      </c>
      <c r="H23" s="17">
        <f t="shared" si="1"/>
        <v>18.188893048271389</v>
      </c>
      <c r="I23" s="17">
        <f t="shared" si="2"/>
        <v>12.848582430655794</v>
      </c>
      <c r="J23" s="17">
        <f t="shared" si="3"/>
        <v>20.859048357079189</v>
      </c>
      <c r="K23" s="17">
        <f t="shared" si="4"/>
        <v>10.178427121847996</v>
      </c>
      <c r="L23" s="17">
        <f t="shared" si="5"/>
        <v>0.97903004065467947</v>
      </c>
      <c r="M23" s="11">
        <f t="shared" si="6"/>
        <v>0.26885128894113675</v>
      </c>
      <c r="U23" s="6">
        <v>45954</v>
      </c>
      <c r="V23" s="9">
        <v>6437.74</v>
      </c>
      <c r="W23" s="24">
        <f t="shared" si="7"/>
        <v>436.49246040355825</v>
      </c>
    </row>
    <row r="24" spans="1:23" x14ac:dyDescent="0.2">
      <c r="A24" s="6">
        <v>42783</v>
      </c>
      <c r="B24" s="16">
        <v>18.186</v>
      </c>
      <c r="C24" s="16">
        <v>14.4946</v>
      </c>
      <c r="D24" s="16">
        <v>14.784800000000001</v>
      </c>
      <c r="E24" s="16">
        <v>20.6312</v>
      </c>
      <c r="F24" s="16">
        <v>14.184799999999999</v>
      </c>
      <c r="G24" s="29">
        <f t="shared" si="0"/>
        <v>15.518737739463592</v>
      </c>
      <c r="H24" s="17">
        <f t="shared" si="1"/>
        <v>18.188893048271389</v>
      </c>
      <c r="I24" s="17">
        <f t="shared" si="2"/>
        <v>12.848582430655794</v>
      </c>
      <c r="J24" s="17">
        <f t="shared" si="3"/>
        <v>20.859048357079189</v>
      </c>
      <c r="K24" s="17">
        <f t="shared" si="4"/>
        <v>10.178427121847996</v>
      </c>
      <c r="L24" s="17">
        <f t="shared" si="5"/>
        <v>0.99891652434528899</v>
      </c>
      <c r="M24" s="11">
        <f t="shared" si="6"/>
        <v>0.25467415451271513</v>
      </c>
      <c r="U24" s="6">
        <v>45961</v>
      </c>
      <c r="V24" s="9">
        <v>6364.29</v>
      </c>
      <c r="W24" s="24">
        <f t="shared" si="7"/>
        <v>435.3645772764275</v>
      </c>
    </row>
    <row r="25" spans="1:23" x14ac:dyDescent="0.2">
      <c r="A25" s="6">
        <v>42790</v>
      </c>
      <c r="B25" s="16">
        <v>18.408799999999999</v>
      </c>
      <c r="C25" s="16">
        <v>14.585900000000001</v>
      </c>
      <c r="D25" s="16">
        <v>14.9453</v>
      </c>
      <c r="E25" s="16">
        <v>20.9343</v>
      </c>
      <c r="F25" s="16">
        <v>14.3415</v>
      </c>
      <c r="G25" s="29">
        <f t="shared" si="0"/>
        <v>15.518737739463592</v>
      </c>
      <c r="H25" s="17">
        <f t="shared" si="1"/>
        <v>18.188893048271389</v>
      </c>
      <c r="I25" s="17">
        <f t="shared" si="2"/>
        <v>12.848582430655794</v>
      </c>
      <c r="J25" s="17">
        <f t="shared" si="3"/>
        <v>20.859048357079189</v>
      </c>
      <c r="K25" s="17">
        <f t="shared" si="4"/>
        <v>10.178427121847996</v>
      </c>
      <c r="L25" s="17">
        <f t="shared" si="5"/>
        <v>1.0823573636347001</v>
      </c>
      <c r="M25" s="11">
        <f t="shared" si="6"/>
        <v>0.26209558546267275</v>
      </c>
      <c r="U25" s="6">
        <v>45968</v>
      </c>
      <c r="V25" s="9">
        <v>6541.16</v>
      </c>
      <c r="W25" s="24">
        <f t="shared" si="7"/>
        <v>434.94068833448591</v>
      </c>
    </row>
    <row r="26" spans="1:23" x14ac:dyDescent="0.2">
      <c r="A26" s="6">
        <v>42797</v>
      </c>
      <c r="B26" s="16">
        <v>18.431899999999999</v>
      </c>
      <c r="C26" s="16">
        <v>14.541499999999999</v>
      </c>
      <c r="D26" s="16">
        <v>14.9092</v>
      </c>
      <c r="E26" s="16">
        <v>20.840900000000001</v>
      </c>
      <c r="F26" s="16">
        <v>14.1927</v>
      </c>
      <c r="G26" s="29">
        <f t="shared" si="0"/>
        <v>15.518737739463592</v>
      </c>
      <c r="H26" s="17">
        <f t="shared" si="1"/>
        <v>18.188893048271389</v>
      </c>
      <c r="I26" s="17">
        <f t="shared" si="2"/>
        <v>12.848582430655794</v>
      </c>
      <c r="J26" s="17">
        <f t="shared" si="3"/>
        <v>20.859048357079189</v>
      </c>
      <c r="K26" s="17">
        <f t="shared" si="4"/>
        <v>10.178427121847996</v>
      </c>
      <c r="L26" s="17">
        <f t="shared" si="5"/>
        <v>1.091008545805191</v>
      </c>
      <c r="M26" s="11">
        <f t="shared" si="6"/>
        <v>0.2675377368221985</v>
      </c>
      <c r="U26" s="6">
        <v>45975</v>
      </c>
      <c r="V26" s="9">
        <v>6447.53</v>
      </c>
      <c r="W26" s="24">
        <f t="shared" si="7"/>
        <v>434.80955463839655</v>
      </c>
    </row>
    <row r="27" spans="1:23" x14ac:dyDescent="0.2">
      <c r="A27" s="6">
        <v>42804</v>
      </c>
      <c r="B27" s="16">
        <v>18.300699999999999</v>
      </c>
      <c r="C27" s="16">
        <v>14.4717</v>
      </c>
      <c r="D27" s="16">
        <v>14.967499999999999</v>
      </c>
      <c r="E27" s="16">
        <v>20.854600000000001</v>
      </c>
      <c r="F27" s="16">
        <v>14.251899999999999</v>
      </c>
      <c r="G27" s="29">
        <f t="shared" si="0"/>
        <v>15.518737739463592</v>
      </c>
      <c r="H27" s="17">
        <f t="shared" si="1"/>
        <v>18.188893048271389</v>
      </c>
      <c r="I27" s="17">
        <f t="shared" si="2"/>
        <v>12.848582430655794</v>
      </c>
      <c r="J27" s="17">
        <f t="shared" si="3"/>
        <v>20.859048357079189</v>
      </c>
      <c r="K27" s="17">
        <f t="shared" si="4"/>
        <v>10.178427121847996</v>
      </c>
      <c r="L27" s="17">
        <f t="shared" si="5"/>
        <v>1.0418728271572073</v>
      </c>
      <c r="M27" s="11">
        <f t="shared" si="6"/>
        <v>0.26458536315705827</v>
      </c>
      <c r="U27" s="6">
        <v>45982</v>
      </c>
      <c r="V27" s="9">
        <v>6478.36</v>
      </c>
      <c r="W27" s="24">
        <f t="shared" si="7"/>
        <v>435.14847827401138</v>
      </c>
    </row>
    <row r="28" spans="1:23" x14ac:dyDescent="0.2">
      <c r="A28" s="6">
        <v>42811</v>
      </c>
      <c r="B28" s="16">
        <v>16.256900000000002</v>
      </c>
      <c r="C28" s="16">
        <v>15.417899999999999</v>
      </c>
      <c r="D28" s="16">
        <v>15.9871</v>
      </c>
      <c r="E28" s="16">
        <v>21.424099999999999</v>
      </c>
      <c r="F28" s="16">
        <v>14.8095</v>
      </c>
      <c r="G28" s="29">
        <f t="shared" si="0"/>
        <v>15.518737739463592</v>
      </c>
      <c r="H28" s="17">
        <f t="shared" si="1"/>
        <v>18.188893048271389</v>
      </c>
      <c r="I28" s="17">
        <f t="shared" si="2"/>
        <v>12.848582430655794</v>
      </c>
      <c r="J28" s="17">
        <f t="shared" si="3"/>
        <v>20.859048357079189</v>
      </c>
      <c r="K28" s="17">
        <f t="shared" si="4"/>
        <v>10.178427121847996</v>
      </c>
      <c r="L28" s="17">
        <f t="shared" si="5"/>
        <v>0.27644918559662079</v>
      </c>
      <c r="M28" s="11">
        <f t="shared" si="6"/>
        <v>5.4417268240162464E-2</v>
      </c>
      <c r="U28" s="6">
        <v>45989</v>
      </c>
      <c r="V28" s="9">
        <v>6446.62</v>
      </c>
      <c r="W28" s="24">
        <f t="shared" si="7"/>
        <v>417.6218702426068</v>
      </c>
    </row>
    <row r="29" spans="1:23" x14ac:dyDescent="0.2">
      <c r="A29" s="6">
        <v>42818</v>
      </c>
      <c r="B29" s="16">
        <v>16.374600000000001</v>
      </c>
      <c r="C29" s="16">
        <v>12.157299999999999</v>
      </c>
      <c r="D29" s="16">
        <v>12.8866</v>
      </c>
      <c r="E29" s="16">
        <v>21.259</v>
      </c>
      <c r="F29" s="16">
        <v>14.8452</v>
      </c>
      <c r="G29" s="29">
        <f t="shared" si="0"/>
        <v>15.518737739463592</v>
      </c>
      <c r="H29" s="17">
        <f t="shared" si="1"/>
        <v>18.188893048271389</v>
      </c>
      <c r="I29" s="17">
        <f t="shared" si="2"/>
        <v>12.848582430655794</v>
      </c>
      <c r="J29" s="17">
        <f t="shared" si="3"/>
        <v>20.859048357079189</v>
      </c>
      <c r="K29" s="17">
        <f t="shared" si="4"/>
        <v>10.178427121847996</v>
      </c>
      <c r="L29" s="17">
        <f t="shared" si="5"/>
        <v>0.32052901856055099</v>
      </c>
      <c r="M29" s="11">
        <f t="shared" si="6"/>
        <v>0.34689445847350986</v>
      </c>
      <c r="U29" s="6">
        <v>45996</v>
      </c>
      <c r="V29" s="9">
        <v>6481.79</v>
      </c>
      <c r="W29" s="24">
        <f t="shared" si="7"/>
        <v>417.56308421751089</v>
      </c>
    </row>
    <row r="30" spans="1:23" x14ac:dyDescent="0.2">
      <c r="A30" s="6">
        <v>42825</v>
      </c>
      <c r="B30" s="16">
        <v>16.296399999999998</v>
      </c>
      <c r="C30" s="16">
        <v>11.9176</v>
      </c>
      <c r="D30" s="16">
        <v>12.7249</v>
      </c>
      <c r="E30" s="16">
        <v>21.429300000000001</v>
      </c>
      <c r="F30" s="16">
        <v>12.2585</v>
      </c>
      <c r="G30" s="29">
        <f t="shared" si="0"/>
        <v>15.518737739463592</v>
      </c>
      <c r="H30" s="17">
        <f t="shared" si="1"/>
        <v>18.188893048271389</v>
      </c>
      <c r="I30" s="17">
        <f t="shared" si="2"/>
        <v>12.848582430655794</v>
      </c>
      <c r="J30" s="17">
        <f t="shared" si="3"/>
        <v>20.859048357079189</v>
      </c>
      <c r="K30" s="17">
        <f t="shared" si="4"/>
        <v>10.178427121847996</v>
      </c>
      <c r="L30" s="17">
        <f t="shared" si="5"/>
        <v>0.29124233259810856</v>
      </c>
      <c r="M30" s="11">
        <f t="shared" si="6"/>
        <v>0.36742297106800015</v>
      </c>
      <c r="U30" s="6">
        <v>46003</v>
      </c>
      <c r="V30" s="9">
        <v>6428.45</v>
      </c>
      <c r="W30" s="24">
        <f t="shared" si="7"/>
        <v>417.88497916571868</v>
      </c>
    </row>
    <row r="31" spans="1:23" x14ac:dyDescent="0.2">
      <c r="A31" s="6">
        <v>42832</v>
      </c>
      <c r="B31" s="16">
        <v>16.561699999999998</v>
      </c>
      <c r="C31" s="16">
        <v>12.0228</v>
      </c>
      <c r="D31" s="16">
        <v>12.7622</v>
      </c>
      <c r="E31" s="16">
        <v>21.5395</v>
      </c>
      <c r="F31" s="16">
        <v>12.358599999999999</v>
      </c>
      <c r="G31" s="29">
        <f t="shared" si="0"/>
        <v>15.518737739463592</v>
      </c>
      <c r="H31" s="17">
        <f t="shared" si="1"/>
        <v>18.188893048271389</v>
      </c>
      <c r="I31" s="17">
        <f t="shared" si="2"/>
        <v>12.848582430655794</v>
      </c>
      <c r="J31" s="17">
        <f t="shared" si="3"/>
        <v>20.859048357079189</v>
      </c>
      <c r="K31" s="17">
        <f t="shared" si="4"/>
        <v>10.178427121847996</v>
      </c>
      <c r="L31" s="17">
        <f t="shared" si="5"/>
        <v>0.39059984904102069</v>
      </c>
      <c r="M31" s="11">
        <f t="shared" si="6"/>
        <v>0.37752437036297692</v>
      </c>
      <c r="U31" s="6">
        <v>46010</v>
      </c>
      <c r="V31" s="9">
        <v>6428.69</v>
      </c>
      <c r="W31" s="24">
        <f t="shared" si="7"/>
        <v>417.06013247439063</v>
      </c>
    </row>
    <row r="32" spans="1:23" x14ac:dyDescent="0.2">
      <c r="A32" s="6">
        <v>42839</v>
      </c>
      <c r="B32" s="16">
        <v>16.3704</v>
      </c>
      <c r="C32" s="16">
        <v>12.0228</v>
      </c>
      <c r="D32" s="16">
        <v>12.747</v>
      </c>
      <c r="E32" s="16">
        <v>21.363900000000001</v>
      </c>
      <c r="F32" s="16">
        <v>12.353199999999999</v>
      </c>
      <c r="G32" s="29">
        <f t="shared" si="0"/>
        <v>15.518737739463592</v>
      </c>
      <c r="H32" s="17">
        <f t="shared" si="1"/>
        <v>18.188893048271389</v>
      </c>
      <c r="I32" s="17">
        <f t="shared" si="2"/>
        <v>12.848582430655794</v>
      </c>
      <c r="J32" s="17">
        <f t="shared" si="3"/>
        <v>20.859048357079189</v>
      </c>
      <c r="K32" s="17">
        <f t="shared" si="4"/>
        <v>10.178427121847996</v>
      </c>
      <c r="L32" s="17">
        <f t="shared" si="5"/>
        <v>0.31895607634773415</v>
      </c>
      <c r="M32" s="11">
        <f t="shared" si="6"/>
        <v>0.3616129354226969</v>
      </c>
      <c r="U32" s="6">
        <v>46017</v>
      </c>
      <c r="V32" s="9">
        <v>6355.1</v>
      </c>
      <c r="W32" s="24">
        <f t="shared" si="7"/>
        <v>417.21210848000629</v>
      </c>
    </row>
    <row r="33" spans="1:23" x14ac:dyDescent="0.2">
      <c r="A33" s="6">
        <v>42846</v>
      </c>
      <c r="B33" s="16">
        <v>16.6677</v>
      </c>
      <c r="C33" s="16">
        <v>12.0036</v>
      </c>
      <c r="D33" s="16">
        <v>12.680999999999999</v>
      </c>
      <c r="E33" s="16">
        <v>21.163399999999999</v>
      </c>
      <c r="F33" s="16">
        <v>12.366300000000001</v>
      </c>
      <c r="G33" s="29">
        <f t="shared" si="0"/>
        <v>15.518737739463592</v>
      </c>
      <c r="H33" s="17">
        <f t="shared" si="1"/>
        <v>18.188893048271389</v>
      </c>
      <c r="I33" s="17">
        <f t="shared" si="2"/>
        <v>12.848582430655794</v>
      </c>
      <c r="J33" s="17">
        <f t="shared" si="3"/>
        <v>20.859048357079189</v>
      </c>
      <c r="K33" s="17">
        <f t="shared" si="4"/>
        <v>10.178427121847996</v>
      </c>
      <c r="L33" s="17">
        <f t="shared" si="5"/>
        <v>0.43029791441210569</v>
      </c>
      <c r="M33" s="11">
        <f t="shared" si="6"/>
        <v>0.3885584324702589</v>
      </c>
      <c r="U33" s="6">
        <v>46024</v>
      </c>
      <c r="V33" s="9">
        <v>6403.48</v>
      </c>
      <c r="W33" s="24">
        <f t="shared" si="7"/>
        <v>417.74994291678894</v>
      </c>
    </row>
    <row r="34" spans="1:23" x14ac:dyDescent="0.2">
      <c r="A34" s="6">
        <v>42853</v>
      </c>
      <c r="B34" s="16">
        <v>16.687899999999999</v>
      </c>
      <c r="C34" s="16">
        <v>12.1579</v>
      </c>
      <c r="D34" s="16">
        <v>12.791399999999999</v>
      </c>
      <c r="E34" s="16">
        <v>17.6309</v>
      </c>
      <c r="F34" s="16">
        <v>12.552199999999999</v>
      </c>
      <c r="G34" s="29">
        <f t="shared" si="0"/>
        <v>15.518737739463592</v>
      </c>
      <c r="H34" s="17">
        <f t="shared" si="1"/>
        <v>18.188893048271389</v>
      </c>
      <c r="I34" s="17">
        <f t="shared" si="2"/>
        <v>12.848582430655794</v>
      </c>
      <c r="J34" s="17">
        <f t="shared" si="3"/>
        <v>20.859048357079189</v>
      </c>
      <c r="K34" s="17">
        <f t="shared" si="4"/>
        <v>10.178427121847996</v>
      </c>
      <c r="L34" s="17">
        <f t="shared" si="5"/>
        <v>0.43786301743565159</v>
      </c>
      <c r="M34" s="11">
        <f t="shared" si="6"/>
        <v>0.37259724129989547</v>
      </c>
      <c r="U34" s="6">
        <v>46031</v>
      </c>
      <c r="V34" s="9">
        <v>6428.32</v>
      </c>
      <c r="W34" s="24">
        <f t="shared" si="7"/>
        <v>417.09024610213919</v>
      </c>
    </row>
    <row r="35" spans="1:23" x14ac:dyDescent="0.2">
      <c r="A35" s="6">
        <v>42860</v>
      </c>
      <c r="B35" s="16">
        <v>16.819800000000001</v>
      </c>
      <c r="C35" s="16">
        <v>12.1496</v>
      </c>
      <c r="D35" s="16">
        <v>12.794700000000001</v>
      </c>
      <c r="E35" s="16">
        <v>17.588799999999999</v>
      </c>
      <c r="F35" s="16">
        <v>12.391500000000001</v>
      </c>
      <c r="G35" s="29">
        <f t="shared" si="0"/>
        <v>15.518737739463592</v>
      </c>
      <c r="H35" s="17">
        <f t="shared" si="1"/>
        <v>18.188893048271389</v>
      </c>
      <c r="I35" s="17">
        <f t="shared" si="2"/>
        <v>12.848582430655794</v>
      </c>
      <c r="J35" s="17">
        <f t="shared" si="3"/>
        <v>20.859048357079189</v>
      </c>
      <c r="K35" s="17">
        <f t="shared" si="4"/>
        <v>10.178427121847996</v>
      </c>
      <c r="L35" s="17">
        <f t="shared" si="5"/>
        <v>0.48726089311910536</v>
      </c>
      <c r="M35" s="11">
        <f t="shared" si="6"/>
        <v>0.38439125567919952</v>
      </c>
      <c r="U35" s="6">
        <v>46038</v>
      </c>
      <c r="V35" s="9">
        <v>6539.69</v>
      </c>
      <c r="W35" s="24">
        <f t="shared" si="7"/>
        <v>418.75724375516268</v>
      </c>
    </row>
    <row r="36" spans="1:23" x14ac:dyDescent="0.2">
      <c r="A36" s="6">
        <v>42867</v>
      </c>
      <c r="B36" s="16">
        <v>16.896699999999999</v>
      </c>
      <c r="C36" s="16">
        <v>12.4754</v>
      </c>
      <c r="D36" s="16">
        <v>12.9819</v>
      </c>
      <c r="E36" s="16">
        <v>17.848700000000001</v>
      </c>
      <c r="F36" s="16">
        <v>12.8605</v>
      </c>
      <c r="G36" s="29">
        <f t="shared" si="0"/>
        <v>15.518737739463592</v>
      </c>
      <c r="H36" s="17">
        <f t="shared" si="1"/>
        <v>18.188893048271389</v>
      </c>
      <c r="I36" s="17">
        <f t="shared" si="2"/>
        <v>12.848582430655794</v>
      </c>
      <c r="J36" s="17">
        <f t="shared" si="3"/>
        <v>20.859048357079189</v>
      </c>
      <c r="K36" s="17">
        <f t="shared" si="4"/>
        <v>10.178427121847996</v>
      </c>
      <c r="L36" s="17">
        <f t="shared" si="5"/>
        <v>0.51606071601567449</v>
      </c>
      <c r="M36" s="11">
        <f t="shared" si="6"/>
        <v>0.35440146207736811</v>
      </c>
      <c r="U36" s="6">
        <v>46045</v>
      </c>
      <c r="V36" s="9">
        <v>6336.29</v>
      </c>
      <c r="W36" s="24">
        <f t="shared" si="7"/>
        <v>418.0382920328293</v>
      </c>
    </row>
    <row r="37" spans="1:23" x14ac:dyDescent="0.2">
      <c r="A37" s="6">
        <v>42874</v>
      </c>
      <c r="B37" s="16">
        <v>17.261500000000002</v>
      </c>
      <c r="C37" s="16">
        <v>12.337300000000001</v>
      </c>
      <c r="D37" s="16">
        <v>12.972899999999999</v>
      </c>
      <c r="E37" s="16">
        <v>17.878</v>
      </c>
      <c r="F37" s="16">
        <v>13.032400000000001</v>
      </c>
      <c r="G37" s="29">
        <f t="shared" si="0"/>
        <v>15.518737739463592</v>
      </c>
      <c r="H37" s="17">
        <f t="shared" si="1"/>
        <v>18.188893048271389</v>
      </c>
      <c r="I37" s="17">
        <f t="shared" si="2"/>
        <v>12.848582430655794</v>
      </c>
      <c r="J37" s="17">
        <f t="shared" si="3"/>
        <v>20.859048357079189</v>
      </c>
      <c r="K37" s="17">
        <f t="shared" si="4"/>
        <v>10.178427121847996</v>
      </c>
      <c r="L37" s="17">
        <f t="shared" si="5"/>
        <v>0.65268198250031295</v>
      </c>
      <c r="M37" s="11">
        <f t="shared" si="6"/>
        <v>0.39913109027096705</v>
      </c>
      <c r="U37" s="6">
        <v>46052</v>
      </c>
      <c r="V37" s="9">
        <v>6111.5</v>
      </c>
      <c r="W37" s="24">
        <f t="shared" si="7"/>
        <v>418.26070888397652</v>
      </c>
    </row>
    <row r="38" spans="1:23" x14ac:dyDescent="0.2">
      <c r="A38" s="6">
        <v>42881</v>
      </c>
      <c r="B38" s="16">
        <v>17.1158</v>
      </c>
      <c r="C38" s="16">
        <v>12.638500000000001</v>
      </c>
      <c r="D38" s="16">
        <v>13.2563</v>
      </c>
      <c r="E38" s="16">
        <v>18.178899999999999</v>
      </c>
      <c r="F38" s="16">
        <v>13.349299999999999</v>
      </c>
      <c r="G38" s="29">
        <f t="shared" si="0"/>
        <v>15.518737739463592</v>
      </c>
      <c r="H38" s="17">
        <f t="shared" si="1"/>
        <v>18.188893048271389</v>
      </c>
      <c r="I38" s="17">
        <f t="shared" si="2"/>
        <v>12.848582430655794</v>
      </c>
      <c r="J38" s="17">
        <f t="shared" si="3"/>
        <v>20.859048357079189</v>
      </c>
      <c r="K38" s="17">
        <f t="shared" si="4"/>
        <v>10.178427121847996</v>
      </c>
      <c r="L38" s="17">
        <f t="shared" si="5"/>
        <v>0.59811586811760498</v>
      </c>
      <c r="M38" s="11">
        <f t="shared" si="6"/>
        <v>0.35425881235906154</v>
      </c>
      <c r="U38" s="6">
        <v>46059</v>
      </c>
      <c r="V38" s="9">
        <v>6059.34</v>
      </c>
      <c r="W38" s="24">
        <f t="shared" ref="W38:W69" si="8">V38/INDEX($B$6:$B$527,MATCH(U38,$A$6:$A$527,0))</f>
        <v>424.29084594323967</v>
      </c>
    </row>
    <row r="39" spans="1:23" x14ac:dyDescent="0.2">
      <c r="A39" s="6">
        <v>42888</v>
      </c>
      <c r="B39" s="16">
        <v>17.232600000000001</v>
      </c>
      <c r="C39" s="16">
        <v>12.5984</v>
      </c>
      <c r="D39" s="16">
        <v>13.338699999999999</v>
      </c>
      <c r="E39" s="16">
        <v>18.429300000000001</v>
      </c>
      <c r="F39" s="16">
        <v>13.3226</v>
      </c>
      <c r="G39" s="29">
        <f t="shared" si="0"/>
        <v>15.518737739463592</v>
      </c>
      <c r="H39" s="17">
        <f t="shared" si="1"/>
        <v>18.188893048271389</v>
      </c>
      <c r="I39" s="17">
        <f t="shared" si="2"/>
        <v>12.848582430655794</v>
      </c>
      <c r="J39" s="17">
        <f t="shared" si="3"/>
        <v>20.859048357079189</v>
      </c>
      <c r="K39" s="17">
        <f t="shared" si="4"/>
        <v>10.178427121847996</v>
      </c>
      <c r="L39" s="17">
        <f t="shared" si="5"/>
        <v>0.64185864203593235</v>
      </c>
      <c r="M39" s="11">
        <f t="shared" si="6"/>
        <v>0.36784036068072146</v>
      </c>
      <c r="U39" s="6">
        <v>46066</v>
      </c>
      <c r="V39" s="9">
        <v>6084.3</v>
      </c>
      <c r="W39" s="24">
        <f t="shared" si="8"/>
        <v>424.31237446998438</v>
      </c>
    </row>
    <row r="40" spans="1:23" x14ac:dyDescent="0.2">
      <c r="A40" s="6">
        <v>42895</v>
      </c>
      <c r="B40" s="16">
        <v>16.997499999999999</v>
      </c>
      <c r="C40" s="16">
        <v>12.6195</v>
      </c>
      <c r="D40" s="16">
        <v>13.417400000000001</v>
      </c>
      <c r="E40" s="16">
        <v>18.408999999999999</v>
      </c>
      <c r="F40" s="16">
        <v>13.4696</v>
      </c>
      <c r="G40" s="29">
        <f t="shared" si="0"/>
        <v>15.518737739463592</v>
      </c>
      <c r="H40" s="17">
        <f t="shared" si="1"/>
        <v>18.188893048271389</v>
      </c>
      <c r="I40" s="17">
        <f t="shared" si="2"/>
        <v>12.848582430655794</v>
      </c>
      <c r="J40" s="17">
        <f t="shared" si="3"/>
        <v>20.859048357079189</v>
      </c>
      <c r="K40" s="17">
        <f t="shared" si="4"/>
        <v>10.178427121847996</v>
      </c>
      <c r="L40" s="17">
        <f t="shared" si="5"/>
        <v>0.55381132912327158</v>
      </c>
      <c r="M40" s="11">
        <f t="shared" si="6"/>
        <v>0.34692341217956324</v>
      </c>
      <c r="U40" s="6">
        <v>46073</v>
      </c>
      <c r="V40" s="9">
        <v>6081.79</v>
      </c>
      <c r="W40" s="24">
        <f t="shared" si="8"/>
        <v>423.99244288592524</v>
      </c>
    </row>
    <row r="41" spans="1:23" x14ac:dyDescent="0.2">
      <c r="A41" s="6">
        <v>42902</v>
      </c>
      <c r="B41" s="16">
        <v>17.212900000000001</v>
      </c>
      <c r="C41" s="16">
        <v>12.394</v>
      </c>
      <c r="D41" s="16">
        <v>13.1791</v>
      </c>
      <c r="E41" s="16">
        <v>18.237500000000001</v>
      </c>
      <c r="F41" s="16">
        <v>13.132400000000001</v>
      </c>
      <c r="G41" s="29">
        <f t="shared" si="0"/>
        <v>15.518737739463592</v>
      </c>
      <c r="H41" s="17">
        <f t="shared" si="1"/>
        <v>18.188893048271389</v>
      </c>
      <c r="I41" s="17">
        <f t="shared" si="2"/>
        <v>12.848582430655794</v>
      </c>
      <c r="J41" s="17">
        <f t="shared" si="3"/>
        <v>20.859048357079189</v>
      </c>
      <c r="K41" s="17">
        <f t="shared" si="4"/>
        <v>10.178427121847996</v>
      </c>
      <c r="L41" s="17">
        <f t="shared" si="5"/>
        <v>0.63448079403772129</v>
      </c>
      <c r="M41" s="11">
        <f t="shared" si="6"/>
        <v>0.3888091011779895</v>
      </c>
      <c r="U41" s="6">
        <v>46080</v>
      </c>
      <c r="V41" s="9">
        <v>6034.67</v>
      </c>
      <c r="W41" s="24">
        <f t="shared" si="8"/>
        <v>423.26284411713135</v>
      </c>
    </row>
    <row r="42" spans="1:23" x14ac:dyDescent="0.2">
      <c r="A42" s="6">
        <v>42909</v>
      </c>
      <c r="B42" s="16">
        <v>17.581399999999999</v>
      </c>
      <c r="C42" s="16">
        <v>12.637499999999999</v>
      </c>
      <c r="D42" s="16">
        <v>13.4031</v>
      </c>
      <c r="E42" s="16">
        <v>18.202300000000001</v>
      </c>
      <c r="F42" s="16">
        <v>13.430199999999999</v>
      </c>
      <c r="G42" s="29">
        <f t="shared" si="0"/>
        <v>15.518737739463592</v>
      </c>
      <c r="H42" s="17">
        <f t="shared" si="1"/>
        <v>18.188893048271389</v>
      </c>
      <c r="I42" s="17">
        <f t="shared" si="2"/>
        <v>12.848582430655794</v>
      </c>
      <c r="J42" s="17">
        <f t="shared" si="3"/>
        <v>20.859048357079189</v>
      </c>
      <c r="K42" s="17">
        <f t="shared" si="4"/>
        <v>10.178427121847996</v>
      </c>
      <c r="L42" s="17">
        <f t="shared" si="5"/>
        <v>0.77248774770983919</v>
      </c>
      <c r="M42" s="11">
        <f t="shared" si="6"/>
        <v>0.39120870425321463</v>
      </c>
      <c r="U42" s="6">
        <v>46087</v>
      </c>
      <c r="V42" s="9">
        <v>5588.16</v>
      </c>
      <c r="W42" s="24">
        <f t="shared" si="8"/>
        <v>423.27170265787021</v>
      </c>
    </row>
    <row r="43" spans="1:23" x14ac:dyDescent="0.2">
      <c r="A43" s="6">
        <v>42916</v>
      </c>
      <c r="B43" s="16">
        <v>17.572299999999998</v>
      </c>
      <c r="C43" s="16">
        <v>12.571</v>
      </c>
      <c r="D43" s="16">
        <v>13.3307</v>
      </c>
      <c r="E43" s="16">
        <v>18.440899999999999</v>
      </c>
      <c r="F43" s="16">
        <v>13.278600000000001</v>
      </c>
      <c r="G43" s="29">
        <f t="shared" si="0"/>
        <v>15.518737739463592</v>
      </c>
      <c r="H43" s="17">
        <f t="shared" si="1"/>
        <v>18.188893048271389</v>
      </c>
      <c r="I43" s="17">
        <f t="shared" si="2"/>
        <v>12.848582430655794</v>
      </c>
      <c r="J43" s="17">
        <f t="shared" si="3"/>
        <v>20.859048357079189</v>
      </c>
      <c r="K43" s="17">
        <f t="shared" si="4"/>
        <v>10.178427121847996</v>
      </c>
      <c r="L43" s="17">
        <f t="shared" si="5"/>
        <v>0.76907970624873667</v>
      </c>
      <c r="M43" s="11">
        <f t="shared" si="6"/>
        <v>0.39784424469015978</v>
      </c>
      <c r="U43" s="6">
        <v>46094</v>
      </c>
      <c r="V43" s="9">
        <v>5264.42</v>
      </c>
      <c r="W43" s="24">
        <f t="shared" si="8"/>
        <v>424.79322838076644</v>
      </c>
    </row>
    <row r="44" spans="1:23" x14ac:dyDescent="0.2">
      <c r="A44" s="6">
        <v>42923</v>
      </c>
      <c r="B44" s="16">
        <v>17.583200000000001</v>
      </c>
      <c r="C44" s="16">
        <v>12.534599999999999</v>
      </c>
      <c r="D44" s="16">
        <v>13.2417</v>
      </c>
      <c r="E44" s="16">
        <v>18.8308</v>
      </c>
      <c r="F44" s="16">
        <v>13.161</v>
      </c>
      <c r="G44" s="29">
        <f t="shared" si="0"/>
        <v>15.518737739463592</v>
      </c>
      <c r="H44" s="17">
        <f t="shared" si="1"/>
        <v>18.188893048271389</v>
      </c>
      <c r="I44" s="17">
        <f t="shared" si="2"/>
        <v>12.848582430655794</v>
      </c>
      <c r="J44" s="17">
        <f t="shared" si="3"/>
        <v>20.859048357079189</v>
      </c>
      <c r="K44" s="17">
        <f t="shared" si="4"/>
        <v>10.178427121847996</v>
      </c>
      <c r="L44" s="17">
        <f t="shared" si="5"/>
        <v>0.7731618658010474</v>
      </c>
      <c r="M44" s="11">
        <f t="shared" si="6"/>
        <v>0.40277312399278808</v>
      </c>
      <c r="U44" s="6">
        <v>46101</v>
      </c>
      <c r="V44" s="9">
        <v>5174.66</v>
      </c>
      <c r="W44" s="24">
        <f t="shared" si="8"/>
        <v>410.52765194487853</v>
      </c>
    </row>
    <row r="45" spans="1:23" x14ac:dyDescent="0.2">
      <c r="A45" s="6">
        <v>42930</v>
      </c>
      <c r="B45" s="16">
        <v>17.574400000000001</v>
      </c>
      <c r="C45" s="16">
        <v>13.021000000000001</v>
      </c>
      <c r="D45" s="16">
        <v>13.648300000000001</v>
      </c>
      <c r="E45" s="16">
        <v>19.760899999999999</v>
      </c>
      <c r="F45" s="16">
        <v>13.8103</v>
      </c>
      <c r="G45" s="29">
        <f t="shared" si="0"/>
        <v>15.518737739463592</v>
      </c>
      <c r="H45" s="17">
        <f t="shared" si="1"/>
        <v>18.188893048271389</v>
      </c>
      <c r="I45" s="17">
        <f t="shared" si="2"/>
        <v>12.848582430655794</v>
      </c>
      <c r="J45" s="17">
        <f t="shared" si="3"/>
        <v>20.859048357079189</v>
      </c>
      <c r="K45" s="17">
        <f t="shared" si="4"/>
        <v>10.178427121847996</v>
      </c>
      <c r="L45" s="17">
        <f t="shared" si="5"/>
        <v>0.76986617735514573</v>
      </c>
      <c r="M45" s="11">
        <f t="shared" si="6"/>
        <v>0.34969664388295829</v>
      </c>
      <c r="U45" s="6">
        <v>46108</v>
      </c>
      <c r="V45" s="9">
        <v>5165.68</v>
      </c>
      <c r="W45" s="24">
        <f t="shared" si="8"/>
        <v>459.84190286284013</v>
      </c>
    </row>
    <row r="46" spans="1:23" x14ac:dyDescent="0.2">
      <c r="A46" s="6">
        <v>42937</v>
      </c>
      <c r="B46" s="16">
        <v>17.250499999999999</v>
      </c>
      <c r="C46" s="16">
        <v>13.109</v>
      </c>
      <c r="D46" s="16">
        <v>13.7758</v>
      </c>
      <c r="E46" s="16">
        <v>20.010999999999999</v>
      </c>
      <c r="F46" s="16">
        <v>13.9672</v>
      </c>
      <c r="G46" s="29">
        <f t="shared" si="0"/>
        <v>15.518737739463592</v>
      </c>
      <c r="H46" s="17">
        <f t="shared" si="1"/>
        <v>18.188893048271389</v>
      </c>
      <c r="I46" s="17">
        <f t="shared" si="2"/>
        <v>12.848582430655794</v>
      </c>
      <c r="J46" s="17">
        <f t="shared" si="3"/>
        <v>20.859048357079189</v>
      </c>
      <c r="K46" s="17">
        <f t="shared" si="4"/>
        <v>10.178427121847996</v>
      </c>
      <c r="L46" s="17">
        <f t="shared" si="5"/>
        <v>0.64856237194293531</v>
      </c>
      <c r="M46" s="11">
        <f t="shared" si="6"/>
        <v>0.31592798840491265</v>
      </c>
      <c r="U46" s="6">
        <v>46115</v>
      </c>
      <c r="V46" s="9">
        <v>5084.42</v>
      </c>
      <c r="W46" s="24">
        <f t="shared" si="8"/>
        <v>450.10401820097206</v>
      </c>
    </row>
    <row r="47" spans="1:23" x14ac:dyDescent="0.2">
      <c r="A47" s="6">
        <v>42944</v>
      </c>
      <c r="B47" s="16">
        <v>17.450399999999998</v>
      </c>
      <c r="C47" s="16">
        <v>13.0778</v>
      </c>
      <c r="D47" s="16">
        <v>13.8194</v>
      </c>
      <c r="E47" s="16">
        <v>20.190200000000001</v>
      </c>
      <c r="F47" s="16">
        <v>14.156599999999999</v>
      </c>
      <c r="G47" s="29">
        <f t="shared" si="0"/>
        <v>15.518737739463592</v>
      </c>
      <c r="H47" s="17">
        <f t="shared" si="1"/>
        <v>18.188893048271389</v>
      </c>
      <c r="I47" s="17">
        <f t="shared" si="2"/>
        <v>12.848582430655794</v>
      </c>
      <c r="J47" s="17">
        <f t="shared" si="3"/>
        <v>20.859048357079189</v>
      </c>
      <c r="K47" s="17">
        <f t="shared" si="4"/>
        <v>10.178427121847996</v>
      </c>
      <c r="L47" s="17">
        <f t="shared" si="5"/>
        <v>0.72342693107198952</v>
      </c>
      <c r="M47" s="11">
        <f t="shared" si="6"/>
        <v>0.33435287280735282</v>
      </c>
      <c r="U47" s="6">
        <v>46122</v>
      </c>
      <c r="V47" s="9">
        <v>5390.1</v>
      </c>
      <c r="W47" s="24">
        <f t="shared" si="8"/>
        <v>450.22176560503175</v>
      </c>
    </row>
    <row r="48" spans="1:23" x14ac:dyDescent="0.2">
      <c r="A48" s="6">
        <v>42951</v>
      </c>
      <c r="B48" s="16">
        <v>17.312200000000001</v>
      </c>
      <c r="C48" s="16">
        <v>13.1402</v>
      </c>
      <c r="D48" s="16">
        <v>13.897</v>
      </c>
      <c r="E48" s="16">
        <v>20.306100000000001</v>
      </c>
      <c r="F48" s="16">
        <v>14.236700000000001</v>
      </c>
      <c r="G48" s="29">
        <f t="shared" si="0"/>
        <v>15.518737739463592</v>
      </c>
      <c r="H48" s="17">
        <f t="shared" si="1"/>
        <v>18.188893048271389</v>
      </c>
      <c r="I48" s="17">
        <f t="shared" si="2"/>
        <v>12.848582430655794</v>
      </c>
      <c r="J48" s="17">
        <f t="shared" si="3"/>
        <v>20.859048357079189</v>
      </c>
      <c r="K48" s="17">
        <f t="shared" si="4"/>
        <v>10.178427121847996</v>
      </c>
      <c r="L48" s="17">
        <f t="shared" si="5"/>
        <v>0.67166964206931246</v>
      </c>
      <c r="M48" s="11">
        <f t="shared" si="6"/>
        <v>0.31749897261837723</v>
      </c>
      <c r="U48" s="6">
        <v>46129</v>
      </c>
      <c r="V48" s="9">
        <v>5422.34</v>
      </c>
      <c r="W48" s="24">
        <f t="shared" si="8"/>
        <v>450.57752073257882</v>
      </c>
    </row>
    <row r="49" spans="1:23" x14ac:dyDescent="0.2">
      <c r="A49" s="6">
        <v>42958</v>
      </c>
      <c r="B49" s="16">
        <v>17.2729</v>
      </c>
      <c r="C49" s="16">
        <v>12.8689</v>
      </c>
      <c r="D49" s="16">
        <v>13.542</v>
      </c>
      <c r="E49" s="16">
        <v>19.599699999999999</v>
      </c>
      <c r="F49" s="16">
        <v>13.8896</v>
      </c>
      <c r="G49" s="29">
        <f t="shared" si="0"/>
        <v>15.518737739463592</v>
      </c>
      <c r="H49" s="17">
        <f t="shared" si="1"/>
        <v>18.188893048271389</v>
      </c>
      <c r="I49" s="17">
        <f t="shared" si="2"/>
        <v>12.848582430655794</v>
      </c>
      <c r="J49" s="17">
        <f t="shared" si="3"/>
        <v>20.859048357079189</v>
      </c>
      <c r="K49" s="17">
        <f t="shared" si="4"/>
        <v>10.178427121847996</v>
      </c>
      <c r="L49" s="17">
        <f t="shared" si="5"/>
        <v>0.65695139707795724</v>
      </c>
      <c r="M49" s="11">
        <f t="shared" si="6"/>
        <v>0.34222039179727881</v>
      </c>
      <c r="U49" s="6">
        <v>46136</v>
      </c>
      <c r="V49" s="9">
        <v>4968.08</v>
      </c>
      <c r="W49" s="24">
        <f t="shared" si="8"/>
        <v>443.11172157905065</v>
      </c>
    </row>
    <row r="50" spans="1:23" x14ac:dyDescent="0.2">
      <c r="A50" s="6">
        <v>42965</v>
      </c>
      <c r="B50" s="16">
        <v>17.618400000000001</v>
      </c>
      <c r="C50" s="16">
        <v>13.0692</v>
      </c>
      <c r="D50" s="16">
        <v>13.7225</v>
      </c>
      <c r="E50" s="16">
        <v>20.000399999999999</v>
      </c>
      <c r="F50" s="16">
        <v>14.185700000000001</v>
      </c>
      <c r="G50" s="29">
        <f t="shared" si="0"/>
        <v>15.518737739463592</v>
      </c>
      <c r="H50" s="17">
        <f t="shared" si="1"/>
        <v>18.188893048271389</v>
      </c>
      <c r="I50" s="17">
        <f t="shared" si="2"/>
        <v>12.848582430655794</v>
      </c>
      <c r="J50" s="17">
        <f t="shared" si="3"/>
        <v>20.859048357079189</v>
      </c>
      <c r="K50" s="17">
        <f t="shared" si="4"/>
        <v>10.178427121847996</v>
      </c>
      <c r="L50" s="17">
        <f t="shared" si="5"/>
        <v>0.78634461958465263</v>
      </c>
      <c r="M50" s="11">
        <f t="shared" si="6"/>
        <v>0.34808557524561579</v>
      </c>
      <c r="U50" s="6">
        <v>46143</v>
      </c>
      <c r="V50" s="9">
        <v>4782.84</v>
      </c>
      <c r="W50" s="24">
        <f t="shared" si="8"/>
        <v>440.3439640568609</v>
      </c>
    </row>
    <row r="51" spans="1:23" x14ac:dyDescent="0.2">
      <c r="A51" s="6">
        <v>42972</v>
      </c>
      <c r="B51" s="16">
        <v>17.718299999999999</v>
      </c>
      <c r="C51" s="16">
        <v>13.3147</v>
      </c>
      <c r="D51" s="16">
        <v>13.906000000000001</v>
      </c>
      <c r="E51" s="16">
        <v>20.023599999999998</v>
      </c>
      <c r="F51" s="16">
        <v>14.495799999999999</v>
      </c>
      <c r="G51" s="29">
        <f t="shared" si="0"/>
        <v>15.518737739463592</v>
      </c>
      <c r="H51" s="17">
        <f t="shared" si="1"/>
        <v>18.188893048271389</v>
      </c>
      <c r="I51" s="17">
        <f t="shared" si="2"/>
        <v>12.848582430655794</v>
      </c>
      <c r="J51" s="17">
        <f t="shared" si="3"/>
        <v>20.859048357079189</v>
      </c>
      <c r="K51" s="17">
        <f t="shared" si="4"/>
        <v>10.178427121847996</v>
      </c>
      <c r="L51" s="17">
        <f t="shared" si="5"/>
        <v>0.82375817364664561</v>
      </c>
      <c r="M51" s="11">
        <f t="shared" si="6"/>
        <v>0.33073219824705014</v>
      </c>
      <c r="U51" s="6">
        <v>46150</v>
      </c>
      <c r="V51" s="9">
        <v>4872.76</v>
      </c>
      <c r="W51" s="24">
        <f t="shared" si="8"/>
        <v>435.38273215450459</v>
      </c>
    </row>
    <row r="52" spans="1:23" x14ac:dyDescent="0.2">
      <c r="A52" s="6">
        <v>42979</v>
      </c>
      <c r="B52" s="16">
        <v>17.4969</v>
      </c>
      <c r="C52" s="16">
        <v>13.2834</v>
      </c>
      <c r="D52" s="16">
        <v>13.888500000000001</v>
      </c>
      <c r="E52" s="16">
        <v>20.300999999999998</v>
      </c>
      <c r="F52" s="16">
        <v>14.3354</v>
      </c>
      <c r="G52" s="29">
        <f t="shared" si="0"/>
        <v>15.518737739463592</v>
      </c>
      <c r="H52" s="17">
        <f t="shared" si="1"/>
        <v>18.188893048271389</v>
      </c>
      <c r="I52" s="17">
        <f t="shared" si="2"/>
        <v>12.848582430655794</v>
      </c>
      <c r="J52" s="17">
        <f t="shared" si="3"/>
        <v>20.859048357079189</v>
      </c>
      <c r="K52" s="17">
        <f t="shared" si="4"/>
        <v>10.178427121847996</v>
      </c>
      <c r="L52" s="17">
        <f t="shared" si="5"/>
        <v>0.74084164842817346</v>
      </c>
      <c r="M52" s="11">
        <f t="shared" si="6"/>
        <v>0.31720041555625822</v>
      </c>
      <c r="U52" s="6">
        <v>46157</v>
      </c>
      <c r="V52" s="9">
        <v>4649.5200000000004</v>
      </c>
      <c r="W52" s="24">
        <f t="shared" si="8"/>
        <v>431.87471553701971</v>
      </c>
    </row>
    <row r="53" spans="1:23" x14ac:dyDescent="0.2">
      <c r="A53" s="6">
        <v>42986</v>
      </c>
      <c r="B53" s="16">
        <v>17.530999999999999</v>
      </c>
      <c r="C53" s="16">
        <v>13.213800000000001</v>
      </c>
      <c r="D53" s="16">
        <v>13.8164</v>
      </c>
      <c r="E53" s="16">
        <v>20.1432</v>
      </c>
      <c r="F53" s="16">
        <v>14.0555</v>
      </c>
      <c r="G53" s="29">
        <f t="shared" si="0"/>
        <v>15.518737739463592</v>
      </c>
      <c r="H53" s="17">
        <f t="shared" si="1"/>
        <v>18.188893048271389</v>
      </c>
      <c r="I53" s="17">
        <f t="shared" si="2"/>
        <v>12.848582430655794</v>
      </c>
      <c r="J53" s="17">
        <f t="shared" si="3"/>
        <v>20.859048357079189</v>
      </c>
      <c r="K53" s="17">
        <f t="shared" si="4"/>
        <v>10.178427121847996</v>
      </c>
      <c r="L53" s="17">
        <f t="shared" si="5"/>
        <v>0.75361244115604065</v>
      </c>
      <c r="M53" s="11">
        <f t="shared" si="6"/>
        <v>0.32671903615916675</v>
      </c>
      <c r="U53" s="6">
        <v>46164</v>
      </c>
      <c r="V53" s="9">
        <v>4295.99</v>
      </c>
      <c r="W53" s="24">
        <f t="shared" si="8"/>
        <v>427.32562766084425</v>
      </c>
    </row>
    <row r="54" spans="1:23" x14ac:dyDescent="0.2">
      <c r="A54" s="6">
        <v>42993</v>
      </c>
      <c r="B54" s="16">
        <v>17.5352</v>
      </c>
      <c r="C54" s="16">
        <v>13.349299999999999</v>
      </c>
      <c r="D54" s="16">
        <v>13.941700000000001</v>
      </c>
      <c r="E54" s="16">
        <v>20.4697</v>
      </c>
      <c r="F54" s="16">
        <v>14.463800000000001</v>
      </c>
      <c r="G54" s="29">
        <f t="shared" si="0"/>
        <v>15.518737739463592</v>
      </c>
      <c r="H54" s="17">
        <f t="shared" si="1"/>
        <v>18.188893048271389</v>
      </c>
      <c r="I54" s="17">
        <f t="shared" si="2"/>
        <v>12.848582430655794</v>
      </c>
      <c r="J54" s="17">
        <f t="shared" si="3"/>
        <v>20.859048357079189</v>
      </c>
      <c r="K54" s="17">
        <f t="shared" si="4"/>
        <v>10.178427121847996</v>
      </c>
      <c r="L54" s="17">
        <f t="shared" si="5"/>
        <v>0.75518538336885754</v>
      </c>
      <c r="M54" s="11">
        <f t="shared" si="6"/>
        <v>0.31356700351329292</v>
      </c>
      <c r="U54" s="6">
        <v>46171</v>
      </c>
      <c r="V54" s="9">
        <v>4254.32</v>
      </c>
      <c r="W54" s="24">
        <f t="shared" si="8"/>
        <v>425.18114312555588</v>
      </c>
    </row>
    <row r="55" spans="1:23" x14ac:dyDescent="0.2">
      <c r="A55" s="6">
        <v>43000</v>
      </c>
      <c r="B55" s="16">
        <v>17.693100000000001</v>
      </c>
      <c r="C55" s="16">
        <v>13.385199999999999</v>
      </c>
      <c r="D55" s="16">
        <v>13.962199999999999</v>
      </c>
      <c r="E55" s="16">
        <v>20.0944</v>
      </c>
      <c r="F55" s="16">
        <v>14.6624</v>
      </c>
      <c r="G55" s="29">
        <f t="shared" si="0"/>
        <v>15.518737739463592</v>
      </c>
      <c r="H55" s="17">
        <f t="shared" si="1"/>
        <v>18.188893048271389</v>
      </c>
      <c r="I55" s="17">
        <f t="shared" si="2"/>
        <v>12.848582430655794</v>
      </c>
      <c r="J55" s="17">
        <f t="shared" si="3"/>
        <v>20.859048357079189</v>
      </c>
      <c r="K55" s="17">
        <f t="shared" si="4"/>
        <v>10.178427121847996</v>
      </c>
      <c r="L55" s="17">
        <f t="shared" si="5"/>
        <v>0.814320520369747</v>
      </c>
      <c r="M55" s="11">
        <f t="shared" si="6"/>
        <v>0.32184054029824005</v>
      </c>
      <c r="U55" s="6">
        <v>46178</v>
      </c>
      <c r="V55" s="9">
        <v>3851.5</v>
      </c>
      <c r="W55" s="24">
        <f t="shared" si="8"/>
        <v>444.03324917280577</v>
      </c>
    </row>
    <row r="56" spans="1:23" x14ac:dyDescent="0.2">
      <c r="A56" s="6">
        <v>43007</v>
      </c>
      <c r="B56" s="16">
        <v>17.694800000000001</v>
      </c>
      <c r="C56" s="16">
        <v>13.2224</v>
      </c>
      <c r="D56" s="16">
        <v>13.8293</v>
      </c>
      <c r="E56" s="16">
        <v>19.732099999999999</v>
      </c>
      <c r="F56" s="16">
        <v>14.479699999999999</v>
      </c>
      <c r="G56" s="29">
        <f t="shared" si="0"/>
        <v>15.518737739463592</v>
      </c>
      <c r="H56" s="17">
        <f t="shared" si="1"/>
        <v>18.188893048271389</v>
      </c>
      <c r="I56" s="17">
        <f t="shared" si="2"/>
        <v>12.848582430655794</v>
      </c>
      <c r="J56" s="17">
        <f t="shared" si="3"/>
        <v>20.859048357079189</v>
      </c>
      <c r="K56" s="17">
        <f t="shared" si="4"/>
        <v>10.178427121847996</v>
      </c>
      <c r="L56" s="17">
        <f t="shared" si="5"/>
        <v>0.81495718745588686</v>
      </c>
      <c r="M56" s="11">
        <f t="shared" si="6"/>
        <v>0.33824419167473385</v>
      </c>
      <c r="U56" s="6">
        <v>46185</v>
      </c>
      <c r="V56" s="9">
        <v>4177.54</v>
      </c>
      <c r="W56" s="24">
        <f t="shared" si="8"/>
        <v>443.0757808771279</v>
      </c>
    </row>
    <row r="57" spans="1:23" x14ac:dyDescent="0.2">
      <c r="A57" s="6">
        <v>43014</v>
      </c>
      <c r="B57" s="16">
        <v>17.819199999999999</v>
      </c>
      <c r="C57" s="16">
        <v>13.5183</v>
      </c>
      <c r="D57" s="16">
        <v>14.1797</v>
      </c>
      <c r="E57" s="16">
        <v>20.324400000000001</v>
      </c>
      <c r="F57" s="16">
        <v>15.116199999999999</v>
      </c>
      <c r="G57" s="29">
        <f t="shared" si="0"/>
        <v>15.518737739463592</v>
      </c>
      <c r="H57" s="17">
        <f t="shared" si="1"/>
        <v>18.188893048271389</v>
      </c>
      <c r="I57" s="17">
        <f t="shared" si="2"/>
        <v>12.848582430655794</v>
      </c>
      <c r="J57" s="17">
        <f t="shared" si="3"/>
        <v>20.859048357079189</v>
      </c>
      <c r="K57" s="17">
        <f t="shared" si="4"/>
        <v>10.178427121847996</v>
      </c>
      <c r="L57" s="17">
        <f t="shared" si="5"/>
        <v>0.86154623775930961</v>
      </c>
      <c r="M57" s="11">
        <f t="shared" si="6"/>
        <v>0.31815390988511849</v>
      </c>
      <c r="U57" s="6">
        <v>46192</v>
      </c>
      <c r="V57" s="9">
        <v>4280.18</v>
      </c>
      <c r="W57" s="24">
        <f t="shared" si="8"/>
        <v>441.8523986001714</v>
      </c>
    </row>
    <row r="58" spans="1:23" x14ac:dyDescent="0.2">
      <c r="A58" s="6">
        <v>43021</v>
      </c>
      <c r="B58" s="16">
        <v>17.907900000000001</v>
      </c>
      <c r="C58" s="16">
        <v>13.726100000000001</v>
      </c>
      <c r="D58" s="16">
        <v>14.3178</v>
      </c>
      <c r="E58" s="16">
        <v>20.655000000000001</v>
      </c>
      <c r="F58" s="16">
        <v>15.027900000000001</v>
      </c>
      <c r="G58" s="29">
        <f t="shared" si="0"/>
        <v>15.518737739463592</v>
      </c>
      <c r="H58" s="17">
        <f t="shared" si="1"/>
        <v>18.188893048271389</v>
      </c>
      <c r="I58" s="17">
        <f t="shared" si="2"/>
        <v>12.848582430655794</v>
      </c>
      <c r="J58" s="17">
        <f t="shared" si="3"/>
        <v>20.859048357079189</v>
      </c>
      <c r="K58" s="17">
        <f t="shared" si="4"/>
        <v>10.178427121847996</v>
      </c>
      <c r="L58" s="17">
        <f t="shared" si="5"/>
        <v>0.89476527925379357</v>
      </c>
      <c r="M58" s="11">
        <f t="shared" si="6"/>
        <v>0.3046604643707973</v>
      </c>
      <c r="U58" s="6">
        <v>46199</v>
      </c>
      <c r="V58" s="9">
        <v>4091.67</v>
      </c>
      <c r="W58" s="24">
        <f t="shared" si="8"/>
        <v>442.22318292353424</v>
      </c>
    </row>
    <row r="59" spans="1:23" x14ac:dyDescent="0.2">
      <c r="A59" s="6">
        <v>43028</v>
      </c>
      <c r="B59" s="16">
        <v>17.710100000000001</v>
      </c>
      <c r="C59" s="16">
        <v>13.682</v>
      </c>
      <c r="D59" s="16">
        <v>14.3345</v>
      </c>
      <c r="E59" s="16">
        <v>20.976500000000001</v>
      </c>
      <c r="F59" s="16">
        <v>15.036199999999999</v>
      </c>
      <c r="G59" s="29">
        <f t="shared" si="0"/>
        <v>15.518737739463592</v>
      </c>
      <c r="H59" s="17">
        <f t="shared" si="1"/>
        <v>18.188893048271389</v>
      </c>
      <c r="I59" s="17">
        <f t="shared" si="2"/>
        <v>12.848582430655794</v>
      </c>
      <c r="J59" s="17">
        <f t="shared" si="3"/>
        <v>20.859048357079189</v>
      </c>
      <c r="K59" s="17">
        <f t="shared" si="4"/>
        <v>10.178427121847996</v>
      </c>
      <c r="L59" s="17">
        <f t="shared" si="5"/>
        <v>0.82068719123114708</v>
      </c>
      <c r="M59" s="11">
        <f t="shared" si="6"/>
        <v>0.29440871217658238</v>
      </c>
      <c r="U59" s="6">
        <v>46206</v>
      </c>
      <c r="V59" s="9">
        <v>4043.5</v>
      </c>
      <c r="W59" s="24">
        <f t="shared" si="8"/>
        <v>441.35303877052041</v>
      </c>
    </row>
    <row r="60" spans="1:23" x14ac:dyDescent="0.2">
      <c r="A60" s="6">
        <v>43035</v>
      </c>
      <c r="B60" s="16">
        <v>17.654900000000001</v>
      </c>
      <c r="C60" s="16">
        <v>13.5863</v>
      </c>
      <c r="D60" s="16">
        <v>14.251099999999999</v>
      </c>
      <c r="E60" s="16">
        <v>21.485299999999999</v>
      </c>
      <c r="F60" s="16">
        <v>14.8406</v>
      </c>
      <c r="G60" s="29">
        <f t="shared" si="0"/>
        <v>15.518737739463592</v>
      </c>
      <c r="H60" s="17">
        <f t="shared" si="1"/>
        <v>18.188893048271389</v>
      </c>
      <c r="I60" s="17">
        <f t="shared" si="2"/>
        <v>12.848582430655794</v>
      </c>
      <c r="J60" s="17">
        <f t="shared" si="3"/>
        <v>20.859048357079189</v>
      </c>
      <c r="K60" s="17">
        <f t="shared" si="4"/>
        <v>10.178427121847996</v>
      </c>
      <c r="L60" s="17">
        <f t="shared" si="5"/>
        <v>0.80001423643412983</v>
      </c>
      <c r="M60" s="11">
        <f t="shared" si="6"/>
        <v>0.29946343007294129</v>
      </c>
      <c r="U60" s="6">
        <v>46213</v>
      </c>
      <c r="V60" s="9">
        <v>4116.3</v>
      </c>
      <c r="W60" s="24">
        <f t="shared" si="8"/>
        <v>440.83534136546183</v>
      </c>
    </row>
    <row r="61" spans="1:23" x14ac:dyDescent="0.2">
      <c r="A61" s="6">
        <v>43042</v>
      </c>
      <c r="B61" s="16">
        <v>18.111499999999999</v>
      </c>
      <c r="C61" s="16">
        <v>13.727600000000001</v>
      </c>
      <c r="D61" s="16">
        <v>14.4239</v>
      </c>
      <c r="E61" s="16">
        <v>21.639399999999998</v>
      </c>
      <c r="F61" s="16">
        <v>15.102399999999999</v>
      </c>
      <c r="G61" s="29">
        <f t="shared" si="0"/>
        <v>15.518737739463592</v>
      </c>
      <c r="H61" s="17">
        <f t="shared" si="1"/>
        <v>18.188893048271389</v>
      </c>
      <c r="I61" s="17">
        <f t="shared" si="2"/>
        <v>12.848582430655794</v>
      </c>
      <c r="J61" s="17">
        <f t="shared" si="3"/>
        <v>20.859048357079189</v>
      </c>
      <c r="K61" s="17">
        <f t="shared" si="4"/>
        <v>10.178427121847996</v>
      </c>
      <c r="L61" s="17">
        <f t="shared" si="5"/>
        <v>0.97101552557032855</v>
      </c>
      <c r="M61" s="11">
        <f t="shared" si="6"/>
        <v>0.31934934001573456</v>
      </c>
      <c r="U61" s="6">
        <v>46220</v>
      </c>
      <c r="V61" s="9">
        <v>4366.9399999999996</v>
      </c>
      <c r="W61" s="24">
        <f t="shared" si="8"/>
        <v>439.62188173233727</v>
      </c>
    </row>
    <row r="62" spans="1:23" x14ac:dyDescent="0.2">
      <c r="A62" s="6">
        <v>43049</v>
      </c>
      <c r="B62" s="16">
        <v>18.017600000000002</v>
      </c>
      <c r="C62" s="16">
        <v>13.764200000000001</v>
      </c>
      <c r="D62" s="16">
        <v>14.5124</v>
      </c>
      <c r="E62" s="16">
        <v>21.295200000000001</v>
      </c>
      <c r="F62" s="16">
        <v>15.4963</v>
      </c>
      <c r="G62" s="29">
        <f t="shared" si="0"/>
        <v>15.518737739463592</v>
      </c>
      <c r="H62" s="17">
        <f t="shared" si="1"/>
        <v>18.188893048271389</v>
      </c>
      <c r="I62" s="17">
        <f t="shared" si="2"/>
        <v>12.848582430655794</v>
      </c>
      <c r="J62" s="17">
        <f t="shared" si="3"/>
        <v>20.859048357079189</v>
      </c>
      <c r="K62" s="17">
        <f t="shared" si="4"/>
        <v>10.178427121847996</v>
      </c>
      <c r="L62" s="17">
        <f t="shared" si="5"/>
        <v>0.93584903181235934</v>
      </c>
      <c r="M62" s="11">
        <f t="shared" si="6"/>
        <v>0.30901904941805558</v>
      </c>
      <c r="U62" s="6">
        <v>46227</v>
      </c>
      <c r="V62" s="9">
        <v>4265.43</v>
      </c>
      <c r="W62" s="24">
        <f t="shared" si="8"/>
        <v>437.72692287957312</v>
      </c>
    </row>
    <row r="63" spans="1:23" x14ac:dyDescent="0.2">
      <c r="A63" s="6">
        <v>43056</v>
      </c>
      <c r="B63" s="16">
        <v>18.172499999999999</v>
      </c>
      <c r="C63" s="16">
        <v>13.833299999999999</v>
      </c>
      <c r="D63" s="16">
        <v>14.5153</v>
      </c>
      <c r="E63" s="16">
        <v>20.786100000000001</v>
      </c>
      <c r="F63" s="16">
        <v>15.535600000000001</v>
      </c>
      <c r="G63" s="29">
        <f t="shared" si="0"/>
        <v>15.518737739463592</v>
      </c>
      <c r="H63" s="17">
        <f t="shared" si="1"/>
        <v>18.188893048271389</v>
      </c>
      <c r="I63" s="17">
        <f t="shared" si="2"/>
        <v>12.848582430655794</v>
      </c>
      <c r="J63" s="17">
        <f t="shared" si="3"/>
        <v>20.859048357079189</v>
      </c>
      <c r="K63" s="17">
        <f t="shared" si="4"/>
        <v>10.178427121847996</v>
      </c>
      <c r="L63" s="17">
        <f t="shared" si="5"/>
        <v>0.99386063866123553</v>
      </c>
      <c r="M63" s="11">
        <f t="shared" si="6"/>
        <v>0.31367786428401034</v>
      </c>
      <c r="U63" s="6">
        <v>46234</v>
      </c>
      <c r="V63" s="9">
        <v>4308.63</v>
      </c>
      <c r="W63" s="24">
        <f t="shared" si="8"/>
        <v>435.47907822922986</v>
      </c>
    </row>
    <row r="64" spans="1:23" x14ac:dyDescent="0.2">
      <c r="A64" s="6">
        <v>43063</v>
      </c>
      <c r="B64" s="16">
        <v>18.3415</v>
      </c>
      <c r="C64" s="16">
        <v>13.9534</v>
      </c>
      <c r="D64" s="16">
        <v>14.692299999999999</v>
      </c>
      <c r="E64" s="16">
        <v>21.123999999999999</v>
      </c>
      <c r="F64" s="16">
        <v>15.7561</v>
      </c>
      <c r="G64" s="29">
        <f t="shared" si="0"/>
        <v>15.518737739463592</v>
      </c>
      <c r="H64" s="17">
        <f t="shared" si="1"/>
        <v>18.188893048271389</v>
      </c>
      <c r="I64" s="17">
        <f t="shared" si="2"/>
        <v>12.848582430655794</v>
      </c>
      <c r="J64" s="17">
        <f t="shared" si="3"/>
        <v>20.859048357079189</v>
      </c>
      <c r="K64" s="17">
        <f t="shared" si="4"/>
        <v>10.178427121847996</v>
      </c>
      <c r="L64" s="17">
        <f t="shared" si="5"/>
        <v>1.0571528372245684</v>
      </c>
      <c r="M64" s="11">
        <f t="shared" si="6"/>
        <v>0.31448249172244758</v>
      </c>
      <c r="U64" s="6">
        <v>46241</v>
      </c>
      <c r="V64" s="9">
        <v>4382.45</v>
      </c>
      <c r="W64" s="24">
        <f t="shared" si="8"/>
        <v>434.14235474763484</v>
      </c>
    </row>
    <row r="65" spans="1:23" x14ac:dyDescent="0.2">
      <c r="A65" s="6">
        <v>43070</v>
      </c>
      <c r="B65" s="16">
        <v>17.674700000000001</v>
      </c>
      <c r="C65" s="16">
        <v>13.460699999999999</v>
      </c>
      <c r="D65" s="16">
        <v>14.2056</v>
      </c>
      <c r="E65" s="16">
        <v>20.823599999999999</v>
      </c>
      <c r="F65" s="16">
        <v>14.9625</v>
      </c>
      <c r="G65" s="29">
        <f t="shared" si="0"/>
        <v>15.518737739463592</v>
      </c>
      <c r="H65" s="17">
        <f t="shared" si="1"/>
        <v>18.188893048271389</v>
      </c>
      <c r="I65" s="17">
        <f t="shared" si="2"/>
        <v>12.848582430655794</v>
      </c>
      <c r="J65" s="17">
        <f t="shared" si="3"/>
        <v>20.859048357079189</v>
      </c>
      <c r="K65" s="17">
        <f t="shared" si="4"/>
        <v>10.178427121847996</v>
      </c>
      <c r="L65" s="17">
        <f t="shared" si="5"/>
        <v>0.80742953543740792</v>
      </c>
      <c r="M65" s="11">
        <f t="shared" si="6"/>
        <v>0.31305949913451769</v>
      </c>
      <c r="U65" s="6">
        <v>46248</v>
      </c>
      <c r="V65" s="9">
        <v>4319.71</v>
      </c>
      <c r="W65" s="24">
        <f t="shared" si="8"/>
        <v>433.54911879240439</v>
      </c>
    </row>
    <row r="66" spans="1:23" x14ac:dyDescent="0.2">
      <c r="A66" s="6">
        <v>43077</v>
      </c>
      <c r="B66" s="16">
        <v>18.132000000000001</v>
      </c>
      <c r="C66" s="16">
        <v>13.4438</v>
      </c>
      <c r="D66" s="16">
        <v>14.1995</v>
      </c>
      <c r="E66" s="16">
        <v>21.192399999999999</v>
      </c>
      <c r="F66" s="16">
        <v>14.9453</v>
      </c>
      <c r="G66" s="29">
        <f t="shared" si="0"/>
        <v>15.518737739463592</v>
      </c>
      <c r="H66" s="17">
        <f t="shared" si="1"/>
        <v>18.188893048271389</v>
      </c>
      <c r="I66" s="17">
        <f t="shared" si="2"/>
        <v>12.848582430655794</v>
      </c>
      <c r="J66" s="17">
        <f t="shared" si="3"/>
        <v>20.859048357079189</v>
      </c>
      <c r="K66" s="17">
        <f t="shared" si="4"/>
        <v>10.178427121847996</v>
      </c>
      <c r="L66" s="17">
        <f t="shared" si="5"/>
        <v>0.9786929816090767</v>
      </c>
      <c r="M66" s="11">
        <f t="shared" si="6"/>
        <v>0.34872580669156061</v>
      </c>
      <c r="U66" s="6">
        <v>46255</v>
      </c>
      <c r="V66" s="9">
        <v>4398.8999999999996</v>
      </c>
      <c r="W66" s="24">
        <f t="shared" si="8"/>
        <v>433.35500650195053</v>
      </c>
    </row>
    <row r="67" spans="1:23" x14ac:dyDescent="0.2">
      <c r="A67" s="6">
        <v>43084</v>
      </c>
      <c r="B67" s="16">
        <v>18.413499999999999</v>
      </c>
      <c r="C67" s="16">
        <v>13.491</v>
      </c>
      <c r="D67" s="16">
        <v>14.241099999999999</v>
      </c>
      <c r="E67" s="16">
        <v>21.317799999999998</v>
      </c>
      <c r="F67" s="16">
        <v>14.935700000000001</v>
      </c>
      <c r="G67" s="29">
        <f t="shared" si="0"/>
        <v>15.518737739463592</v>
      </c>
      <c r="H67" s="17">
        <f t="shared" si="1"/>
        <v>18.188893048271389</v>
      </c>
      <c r="I67" s="17">
        <f t="shared" si="2"/>
        <v>12.848582430655794</v>
      </c>
      <c r="J67" s="17">
        <f t="shared" si="3"/>
        <v>20.859048357079189</v>
      </c>
      <c r="K67" s="17">
        <f t="shared" si="4"/>
        <v>10.178427121847996</v>
      </c>
      <c r="L67" s="17">
        <f t="shared" si="5"/>
        <v>1.0841175608728519</v>
      </c>
      <c r="M67" s="11">
        <f t="shared" si="6"/>
        <v>0.36487287821510628</v>
      </c>
      <c r="U67" s="6">
        <v>46262</v>
      </c>
      <c r="V67" s="9">
        <v>4404.5600000000004</v>
      </c>
      <c r="W67" s="24">
        <f t="shared" si="8"/>
        <v>433.06360427502534</v>
      </c>
    </row>
    <row r="68" spans="1:23" x14ac:dyDescent="0.2">
      <c r="A68" s="6">
        <v>43091</v>
      </c>
      <c r="B68" s="16">
        <v>18.760000000000002</v>
      </c>
      <c r="C68" s="16">
        <v>13.7378</v>
      </c>
      <c r="D68" s="16">
        <v>14.442299999999999</v>
      </c>
      <c r="E68" s="16">
        <v>21.8248</v>
      </c>
      <c r="F68" s="16">
        <v>15.2683</v>
      </c>
      <c r="G68" s="29">
        <f t="shared" si="0"/>
        <v>15.518737739463592</v>
      </c>
      <c r="H68" s="17">
        <f t="shared" si="1"/>
        <v>18.188893048271389</v>
      </c>
      <c r="I68" s="17">
        <f t="shared" si="2"/>
        <v>12.848582430655794</v>
      </c>
      <c r="J68" s="17">
        <f t="shared" si="3"/>
        <v>20.859048357079189</v>
      </c>
      <c r="K68" s="17">
        <f t="shared" si="4"/>
        <v>10.178427121847996</v>
      </c>
      <c r="L68" s="17">
        <f t="shared" si="5"/>
        <v>1.2138852934302182</v>
      </c>
      <c r="M68" s="11">
        <f t="shared" si="6"/>
        <v>0.36557527406134915</v>
      </c>
      <c r="U68" s="6">
        <v>46269</v>
      </c>
      <c r="V68" s="9">
        <v>4359.07</v>
      </c>
      <c r="W68" s="24">
        <f t="shared" si="8"/>
        <v>428.64152613206153</v>
      </c>
    </row>
    <row r="69" spans="1:23" x14ac:dyDescent="0.2">
      <c r="A69" s="6">
        <v>43098</v>
      </c>
      <c r="B69" s="16">
        <v>19.238099999999999</v>
      </c>
      <c r="C69" s="16">
        <v>13.8893</v>
      </c>
      <c r="D69" s="16">
        <v>14.5764</v>
      </c>
      <c r="E69" s="16">
        <v>21.9803</v>
      </c>
      <c r="F69" s="16">
        <v>15.2745</v>
      </c>
      <c r="G69" s="29">
        <f t="shared" si="0"/>
        <v>15.518737739463592</v>
      </c>
      <c r="H69" s="17">
        <f t="shared" si="1"/>
        <v>18.188893048271389</v>
      </c>
      <c r="I69" s="17">
        <f t="shared" si="2"/>
        <v>12.848582430655794</v>
      </c>
      <c r="J69" s="17">
        <f t="shared" si="3"/>
        <v>20.859048357079189</v>
      </c>
      <c r="K69" s="17">
        <f t="shared" si="4"/>
        <v>10.178427121847996</v>
      </c>
      <c r="L69" s="17">
        <f t="shared" si="5"/>
        <v>1.3929385486558348</v>
      </c>
      <c r="M69" s="11">
        <f t="shared" si="6"/>
        <v>0.38510220097485104</v>
      </c>
      <c r="U69" s="6">
        <v>46276</v>
      </c>
      <c r="V69" s="9">
        <v>4221.9399999999996</v>
      </c>
      <c r="W69" s="24">
        <f t="shared" si="8"/>
        <v>427.85885118975233</v>
      </c>
    </row>
    <row r="70" spans="1:23" x14ac:dyDescent="0.2">
      <c r="A70" s="6">
        <v>43105</v>
      </c>
      <c r="B70" s="16">
        <v>19.292200000000001</v>
      </c>
      <c r="C70" s="16">
        <v>14.3193</v>
      </c>
      <c r="D70" s="16">
        <v>15.012</v>
      </c>
      <c r="E70" s="16">
        <v>22.258299999999998</v>
      </c>
      <c r="F70" s="16">
        <v>16.019500000000001</v>
      </c>
      <c r="G70" s="29">
        <f t="shared" ref="G70:G133" si="9">$R$6</f>
        <v>15.518737739463592</v>
      </c>
      <c r="H70" s="17">
        <f t="shared" ref="H70:H133" si="10">$R$6+$R$7</f>
        <v>18.188893048271389</v>
      </c>
      <c r="I70" s="17">
        <f t="shared" ref="I70:I133" si="11">$R$6-$R$7</f>
        <v>12.848582430655794</v>
      </c>
      <c r="J70" s="17">
        <f t="shared" ref="J70:J133" si="12">$R$6+2*$R$7</f>
        <v>20.859048357079189</v>
      </c>
      <c r="K70" s="17">
        <f t="shared" ref="K70:K133" si="13">$R$6-2*$R$7</f>
        <v>10.178427121847996</v>
      </c>
      <c r="L70" s="17">
        <f t="shared" ref="L70:L133" si="14">(B70-$R$6)/$R$7</f>
        <v>1.4131995423971153</v>
      </c>
      <c r="M70" s="11">
        <f t="shared" ref="M70:M133" si="15">IF(AND(ISNUMBER(B70),ISNUMBER(C70)),B70/C70-1,"")</f>
        <v>0.34728652936945248</v>
      </c>
      <c r="U70" s="6">
        <v>46283</v>
      </c>
      <c r="V70" s="9">
        <v>4188.6099999999997</v>
      </c>
      <c r="W70" s="24">
        <f t="shared" ref="W70:W101" si="16">V70/INDEX($B$6:$B$527,MATCH(U70,$A$6:$A$527,0))</f>
        <v>427.96816249795648</v>
      </c>
    </row>
    <row r="71" spans="1:23" x14ac:dyDescent="0.2">
      <c r="A71" s="6">
        <v>43112</v>
      </c>
      <c r="B71" s="16">
        <v>19.1875</v>
      </c>
      <c r="C71" s="16">
        <v>14.3443</v>
      </c>
      <c r="D71" s="16">
        <v>15.0632</v>
      </c>
      <c r="E71" s="16">
        <v>22.392499999999998</v>
      </c>
      <c r="F71" s="16">
        <v>16.250499999999999</v>
      </c>
      <c r="G71" s="29">
        <f t="shared" si="9"/>
        <v>15.518737739463592</v>
      </c>
      <c r="H71" s="17">
        <f t="shared" si="10"/>
        <v>18.188893048271389</v>
      </c>
      <c r="I71" s="17">
        <f t="shared" si="11"/>
        <v>12.848582430655794</v>
      </c>
      <c r="J71" s="17">
        <f t="shared" si="12"/>
        <v>20.859048357079189</v>
      </c>
      <c r="K71" s="17">
        <f t="shared" si="13"/>
        <v>10.178427121847996</v>
      </c>
      <c r="L71" s="17">
        <f t="shared" si="14"/>
        <v>1.3739883400919024</v>
      </c>
      <c r="M71" s="11">
        <f t="shared" si="15"/>
        <v>0.33763934106230353</v>
      </c>
      <c r="U71" s="6">
        <v>46290</v>
      </c>
      <c r="V71" s="9">
        <v>4040.91</v>
      </c>
      <c r="W71" s="24">
        <f t="shared" si="16"/>
        <v>428.84841924289213</v>
      </c>
    </row>
    <row r="72" spans="1:23" x14ac:dyDescent="0.2">
      <c r="A72" s="6">
        <v>43119</v>
      </c>
      <c r="B72" s="16">
        <v>19.4697</v>
      </c>
      <c r="C72" s="16">
        <v>14.6065</v>
      </c>
      <c r="D72" s="16">
        <v>15.3063</v>
      </c>
      <c r="E72" s="16">
        <v>22.613</v>
      </c>
      <c r="F72" s="16">
        <v>16.536899999999999</v>
      </c>
      <c r="G72" s="29">
        <f t="shared" si="9"/>
        <v>15.518737739463592</v>
      </c>
      <c r="H72" s="17">
        <f t="shared" si="10"/>
        <v>18.188893048271389</v>
      </c>
      <c r="I72" s="17">
        <f t="shared" si="11"/>
        <v>12.848582430655794</v>
      </c>
      <c r="J72" s="17">
        <f t="shared" si="12"/>
        <v>20.859048357079189</v>
      </c>
      <c r="K72" s="17">
        <f t="shared" si="13"/>
        <v>10.178427121847996</v>
      </c>
      <c r="L72" s="17">
        <f t="shared" si="14"/>
        <v>1.4796750763911475</v>
      </c>
      <c r="M72" s="11">
        <f t="shared" si="15"/>
        <v>0.33294766028822775</v>
      </c>
      <c r="U72" s="6">
        <v>46297</v>
      </c>
      <c r="V72" s="9">
        <v>3927.77</v>
      </c>
      <c r="W72" s="24">
        <f t="shared" si="16"/>
        <v>428.44037697979843</v>
      </c>
    </row>
    <row r="73" spans="1:23" x14ac:dyDescent="0.2">
      <c r="A73" s="6">
        <v>43126</v>
      </c>
      <c r="B73" s="16">
        <v>19.825299999999999</v>
      </c>
      <c r="C73" s="16">
        <v>15.2239</v>
      </c>
      <c r="D73" s="16">
        <v>15.912599999999999</v>
      </c>
      <c r="E73" s="16">
        <v>23.382400000000001</v>
      </c>
      <c r="F73" s="16">
        <v>17.337199999999999</v>
      </c>
      <c r="G73" s="29">
        <f t="shared" si="9"/>
        <v>15.518737739463592</v>
      </c>
      <c r="H73" s="17">
        <f t="shared" si="10"/>
        <v>18.188893048271389</v>
      </c>
      <c r="I73" s="17">
        <f t="shared" si="11"/>
        <v>12.848582430655794</v>
      </c>
      <c r="J73" s="17">
        <f t="shared" si="12"/>
        <v>20.859048357079189</v>
      </c>
      <c r="K73" s="17">
        <f t="shared" si="13"/>
        <v>10.178427121847996</v>
      </c>
      <c r="L73" s="17">
        <f t="shared" si="14"/>
        <v>1.6128508504096153</v>
      </c>
      <c r="M73" s="11">
        <f t="shared" si="15"/>
        <v>0.30224843831081372</v>
      </c>
      <c r="U73" s="6">
        <v>46304</v>
      </c>
      <c r="V73" s="9">
        <v>3947.8</v>
      </c>
      <c r="W73" s="24">
        <f t="shared" si="16"/>
        <v>428.74519429179605</v>
      </c>
    </row>
    <row r="74" spans="1:23" x14ac:dyDescent="0.2">
      <c r="A74" s="6">
        <v>43133</v>
      </c>
      <c r="B74" s="16">
        <v>19.635400000000001</v>
      </c>
      <c r="C74" s="16">
        <v>14.699199999999999</v>
      </c>
      <c r="D74" s="16">
        <v>15.431699999999999</v>
      </c>
      <c r="E74" s="16">
        <v>22.081</v>
      </c>
      <c r="F74" s="16">
        <v>16.665900000000001</v>
      </c>
      <c r="G74" s="29">
        <f t="shared" si="9"/>
        <v>15.518737739463592</v>
      </c>
      <c r="H74" s="17">
        <f t="shared" si="10"/>
        <v>18.188893048271389</v>
      </c>
      <c r="I74" s="17">
        <f t="shared" si="11"/>
        <v>12.848582430655794</v>
      </c>
      <c r="J74" s="17">
        <f t="shared" si="12"/>
        <v>20.859048357079189</v>
      </c>
      <c r="K74" s="17">
        <f t="shared" si="13"/>
        <v>10.178427121847996</v>
      </c>
      <c r="L74" s="17">
        <f t="shared" si="14"/>
        <v>1.5417313917872677</v>
      </c>
      <c r="M74" s="11">
        <f t="shared" si="15"/>
        <v>0.33581419396973988</v>
      </c>
    </row>
    <row r="75" spans="1:23" x14ac:dyDescent="0.2">
      <c r="A75" s="6">
        <v>43140</v>
      </c>
      <c r="B75" s="16">
        <v>19.287700000000001</v>
      </c>
      <c r="C75" s="16">
        <v>13.7331</v>
      </c>
      <c r="D75" s="16">
        <v>14.372199999999999</v>
      </c>
      <c r="E75" s="16">
        <v>21.855899999999998</v>
      </c>
      <c r="F75" s="16">
        <v>15.0418</v>
      </c>
      <c r="G75" s="29">
        <f t="shared" si="9"/>
        <v>15.518737739463592</v>
      </c>
      <c r="H75" s="17">
        <f t="shared" si="10"/>
        <v>18.188893048271389</v>
      </c>
      <c r="I75" s="17">
        <f t="shared" si="11"/>
        <v>12.848582430655794</v>
      </c>
      <c r="J75" s="17">
        <f t="shared" si="12"/>
        <v>20.859048357079189</v>
      </c>
      <c r="K75" s="17">
        <f t="shared" si="13"/>
        <v>10.178427121847996</v>
      </c>
      <c r="L75" s="17">
        <f t="shared" si="14"/>
        <v>1.4115142471690976</v>
      </c>
      <c r="M75" s="11">
        <f t="shared" si="15"/>
        <v>0.40446803707829981</v>
      </c>
      <c r="U75" s="2" t="s">
        <v>211</v>
      </c>
      <c r="W75" s="15">
        <f>V73/V32-1</f>
        <v>-0.37879813063523782</v>
      </c>
    </row>
    <row r="76" spans="1:23" x14ac:dyDescent="0.2">
      <c r="A76" s="6">
        <v>43147</v>
      </c>
      <c r="B76" s="16">
        <v>19.532</v>
      </c>
      <c r="C76" s="16">
        <v>14.492000000000001</v>
      </c>
      <c r="D76" s="16">
        <v>15.0526</v>
      </c>
      <c r="E76" s="16">
        <v>22.0182</v>
      </c>
      <c r="F76" s="16">
        <v>16.232399999999998</v>
      </c>
      <c r="G76" s="29">
        <f t="shared" si="9"/>
        <v>15.518737739463592</v>
      </c>
      <c r="H76" s="17">
        <f t="shared" si="10"/>
        <v>18.188893048271389</v>
      </c>
      <c r="I76" s="17">
        <f t="shared" si="11"/>
        <v>12.848582430655794</v>
      </c>
      <c r="J76" s="17">
        <f t="shared" si="12"/>
        <v>20.859048357079189</v>
      </c>
      <c r="K76" s="17">
        <f t="shared" si="13"/>
        <v>10.178427121847996</v>
      </c>
      <c r="L76" s="17">
        <f t="shared" si="14"/>
        <v>1.5030070525479267</v>
      </c>
      <c r="M76" s="11">
        <f t="shared" si="15"/>
        <v>0.34777808446039193</v>
      </c>
      <c r="U76" s="2" t="s">
        <v>212</v>
      </c>
      <c r="W76" s="15">
        <f>W73/W32-1</f>
        <v>2.7643219305899969E-2</v>
      </c>
    </row>
    <row r="77" spans="1:23" x14ac:dyDescent="0.2">
      <c r="A77" s="6">
        <v>43154</v>
      </c>
      <c r="B77" s="16">
        <v>19.599399999999999</v>
      </c>
      <c r="C77" s="16">
        <v>14.706799999999999</v>
      </c>
      <c r="D77" s="16">
        <v>15.268000000000001</v>
      </c>
      <c r="E77" s="16">
        <v>22.070499999999999</v>
      </c>
      <c r="F77" s="16">
        <v>16.600000000000001</v>
      </c>
      <c r="G77" s="29">
        <f t="shared" si="9"/>
        <v>15.518737739463592</v>
      </c>
      <c r="H77" s="17">
        <f t="shared" si="10"/>
        <v>18.188893048271389</v>
      </c>
      <c r="I77" s="17">
        <f t="shared" si="11"/>
        <v>12.848582430655794</v>
      </c>
      <c r="J77" s="17">
        <f t="shared" si="12"/>
        <v>20.859048357079189</v>
      </c>
      <c r="K77" s="17">
        <f t="shared" si="13"/>
        <v>10.178427121847996</v>
      </c>
      <c r="L77" s="17">
        <f t="shared" si="14"/>
        <v>1.5282490299631253</v>
      </c>
      <c r="M77" s="11">
        <f t="shared" si="15"/>
        <v>0.33267604101504067</v>
      </c>
    </row>
    <row r="78" spans="1:23" x14ac:dyDescent="0.2">
      <c r="A78" s="6">
        <v>43161</v>
      </c>
      <c r="B78" s="16">
        <v>19.287299999999998</v>
      </c>
      <c r="C78" s="16">
        <v>14.5084</v>
      </c>
      <c r="D78" s="16">
        <v>15.136699999999999</v>
      </c>
      <c r="E78" s="16">
        <v>22.014199999999999</v>
      </c>
      <c r="F78" s="16">
        <v>16.0181</v>
      </c>
      <c r="G78" s="29">
        <f t="shared" si="9"/>
        <v>15.518737739463592</v>
      </c>
      <c r="H78" s="17">
        <f t="shared" si="10"/>
        <v>18.188893048271389</v>
      </c>
      <c r="I78" s="17">
        <f t="shared" si="11"/>
        <v>12.848582430655794</v>
      </c>
      <c r="J78" s="17">
        <f t="shared" si="12"/>
        <v>20.859048357079189</v>
      </c>
      <c r="K78" s="17">
        <f t="shared" si="13"/>
        <v>10.178427121847996</v>
      </c>
      <c r="L78" s="17">
        <f t="shared" si="14"/>
        <v>1.4113644431488284</v>
      </c>
      <c r="M78" s="11">
        <f t="shared" si="15"/>
        <v>0.32938849218383814</v>
      </c>
    </row>
    <row r="79" spans="1:23" x14ac:dyDescent="0.2">
      <c r="A79" s="6">
        <v>43168</v>
      </c>
      <c r="B79" s="16">
        <v>18.910399999999999</v>
      </c>
      <c r="C79" s="16">
        <v>14.911</v>
      </c>
      <c r="D79" s="16">
        <v>15.426299999999999</v>
      </c>
      <c r="E79" s="16">
        <v>21.480399999999999</v>
      </c>
      <c r="F79" s="16">
        <v>16.5197</v>
      </c>
      <c r="G79" s="29">
        <f t="shared" si="9"/>
        <v>15.518737739463592</v>
      </c>
      <c r="H79" s="17">
        <f t="shared" si="10"/>
        <v>18.188893048271389</v>
      </c>
      <c r="I79" s="17">
        <f t="shared" si="11"/>
        <v>12.848582430655794</v>
      </c>
      <c r="J79" s="17">
        <f t="shared" si="12"/>
        <v>20.859048357079189</v>
      </c>
      <c r="K79" s="17">
        <f t="shared" si="13"/>
        <v>10.178427121847996</v>
      </c>
      <c r="L79" s="17">
        <f t="shared" si="14"/>
        <v>1.2702116050510768</v>
      </c>
      <c r="M79" s="11">
        <f t="shared" si="15"/>
        <v>0.26821809402454555</v>
      </c>
    </row>
    <row r="80" spans="1:23" x14ac:dyDescent="0.2">
      <c r="A80" s="6">
        <v>43175</v>
      </c>
      <c r="B80" s="16">
        <v>16.1816</v>
      </c>
      <c r="C80" s="16">
        <v>15.094799999999999</v>
      </c>
      <c r="D80" s="16">
        <v>15.781499999999999</v>
      </c>
      <c r="E80" s="16">
        <v>21.4833</v>
      </c>
      <c r="F80" s="16">
        <v>16.994700000000002</v>
      </c>
      <c r="G80" s="29">
        <f t="shared" si="9"/>
        <v>15.518737739463592</v>
      </c>
      <c r="H80" s="17">
        <f t="shared" si="10"/>
        <v>18.188893048271389</v>
      </c>
      <c r="I80" s="17">
        <f t="shared" si="11"/>
        <v>12.848582430655794</v>
      </c>
      <c r="J80" s="17">
        <f t="shared" si="12"/>
        <v>20.859048357079189</v>
      </c>
      <c r="K80" s="17">
        <f t="shared" si="13"/>
        <v>10.178427121847996</v>
      </c>
      <c r="L80" s="17">
        <f t="shared" si="14"/>
        <v>0.24824857878112325</v>
      </c>
      <c r="M80" s="11">
        <f t="shared" si="15"/>
        <v>7.1998304051726469E-2</v>
      </c>
    </row>
    <row r="81" spans="1:13" x14ac:dyDescent="0.2">
      <c r="A81" s="6">
        <v>43182</v>
      </c>
      <c r="B81" s="16">
        <v>15.9741</v>
      </c>
      <c r="C81" s="16">
        <v>12.1343</v>
      </c>
      <c r="D81" s="16">
        <v>12.787100000000001</v>
      </c>
      <c r="E81" s="16">
        <v>21.003</v>
      </c>
      <c r="F81" s="16">
        <v>15.039400000000001</v>
      </c>
      <c r="G81" s="29">
        <f t="shared" si="9"/>
        <v>15.518737739463592</v>
      </c>
      <c r="H81" s="17">
        <f t="shared" si="10"/>
        <v>18.188893048271389</v>
      </c>
      <c r="I81" s="17">
        <f t="shared" si="11"/>
        <v>12.848582430655794</v>
      </c>
      <c r="J81" s="17">
        <f t="shared" si="12"/>
        <v>20.859048357079189</v>
      </c>
      <c r="K81" s="17">
        <f t="shared" si="13"/>
        <v>10.178427121847996</v>
      </c>
      <c r="L81" s="17">
        <f t="shared" si="14"/>
        <v>0.17053774326697235</v>
      </c>
      <c r="M81" s="11">
        <f t="shared" si="15"/>
        <v>0.31644182194275738</v>
      </c>
    </row>
    <row r="82" spans="1:13" x14ac:dyDescent="0.2">
      <c r="A82" s="6">
        <v>43189</v>
      </c>
      <c r="B82" s="16">
        <v>15.863200000000001</v>
      </c>
      <c r="C82" s="16">
        <v>12.057499999999999</v>
      </c>
      <c r="D82" s="16">
        <v>12.722200000000001</v>
      </c>
      <c r="E82" s="16">
        <v>21.177399999999999</v>
      </c>
      <c r="F82" s="16">
        <v>12.6798</v>
      </c>
      <c r="G82" s="29">
        <f t="shared" si="9"/>
        <v>15.518737739463592</v>
      </c>
      <c r="H82" s="17">
        <f t="shared" si="10"/>
        <v>18.188893048271389</v>
      </c>
      <c r="I82" s="17">
        <f t="shared" si="11"/>
        <v>12.848582430655794</v>
      </c>
      <c r="J82" s="17">
        <f t="shared" si="12"/>
        <v>20.859048357079189</v>
      </c>
      <c r="K82" s="17">
        <f t="shared" si="13"/>
        <v>10.178427121847996</v>
      </c>
      <c r="L82" s="17">
        <f t="shared" si="14"/>
        <v>0.12900457864760234</v>
      </c>
      <c r="M82" s="11">
        <f t="shared" si="15"/>
        <v>0.31562927638399363</v>
      </c>
    </row>
    <row r="83" spans="1:13" x14ac:dyDescent="0.2">
      <c r="A83" s="6">
        <v>43196</v>
      </c>
      <c r="B83" s="16">
        <v>15.81</v>
      </c>
      <c r="C83" s="16">
        <v>11.9886</v>
      </c>
      <c r="D83" s="16">
        <v>12.614000000000001</v>
      </c>
      <c r="E83" s="16">
        <v>21.679099999999998</v>
      </c>
      <c r="F83" s="16">
        <v>12.4849</v>
      </c>
      <c r="G83" s="29">
        <f t="shared" si="9"/>
        <v>15.518737739463592</v>
      </c>
      <c r="H83" s="17">
        <f t="shared" si="10"/>
        <v>18.188893048271389</v>
      </c>
      <c r="I83" s="17">
        <f t="shared" si="11"/>
        <v>12.848582430655794</v>
      </c>
      <c r="J83" s="17">
        <f t="shared" si="12"/>
        <v>20.859048357079189</v>
      </c>
      <c r="K83" s="17">
        <f t="shared" si="13"/>
        <v>10.178427121847996</v>
      </c>
      <c r="L83" s="17">
        <f t="shared" si="14"/>
        <v>0.10908064395192588</v>
      </c>
      <c r="M83" s="11">
        <f t="shared" si="15"/>
        <v>0.31875281517441567</v>
      </c>
    </row>
    <row r="84" spans="1:13" x14ac:dyDescent="0.2">
      <c r="A84" s="6">
        <v>43203</v>
      </c>
      <c r="B84" s="16">
        <v>16.143599999999999</v>
      </c>
      <c r="C84" s="16">
        <v>12.147600000000001</v>
      </c>
      <c r="D84" s="16">
        <v>12.8499</v>
      </c>
      <c r="E84" s="16">
        <v>21.949200000000001</v>
      </c>
      <c r="F84" s="16">
        <v>12.7385</v>
      </c>
      <c r="G84" s="29">
        <f t="shared" si="9"/>
        <v>15.518737739463592</v>
      </c>
      <c r="H84" s="17">
        <f t="shared" si="10"/>
        <v>18.188893048271389</v>
      </c>
      <c r="I84" s="17">
        <f t="shared" si="11"/>
        <v>12.848582430655794</v>
      </c>
      <c r="J84" s="17">
        <f t="shared" si="12"/>
        <v>20.859048357079189</v>
      </c>
      <c r="K84" s="17">
        <f t="shared" si="13"/>
        <v>10.178427121847996</v>
      </c>
      <c r="L84" s="17">
        <f t="shared" si="14"/>
        <v>0.23401719685564007</v>
      </c>
      <c r="M84" s="11">
        <f t="shared" si="15"/>
        <v>0.3289538674306034</v>
      </c>
    </row>
    <row r="85" spans="1:13" x14ac:dyDescent="0.2">
      <c r="A85" s="6">
        <v>43210</v>
      </c>
      <c r="B85" s="16">
        <v>16.346900000000002</v>
      </c>
      <c r="C85" s="16">
        <v>11.942</v>
      </c>
      <c r="D85" s="16">
        <v>12.7879</v>
      </c>
      <c r="E85" s="16">
        <v>22.120999999999999</v>
      </c>
      <c r="F85" s="16">
        <v>12.5946</v>
      </c>
      <c r="G85" s="29">
        <f t="shared" si="9"/>
        <v>15.518737739463592</v>
      </c>
      <c r="H85" s="17">
        <f t="shared" si="10"/>
        <v>18.188893048271389</v>
      </c>
      <c r="I85" s="17">
        <f t="shared" si="11"/>
        <v>12.848582430655794</v>
      </c>
      <c r="J85" s="17">
        <f t="shared" si="12"/>
        <v>20.859048357079189</v>
      </c>
      <c r="K85" s="17">
        <f t="shared" si="13"/>
        <v>10.178427121847996</v>
      </c>
      <c r="L85" s="17">
        <f t="shared" si="14"/>
        <v>0.3101550901569754</v>
      </c>
      <c r="M85" s="11">
        <f t="shared" si="15"/>
        <v>0.3688578127616815</v>
      </c>
    </row>
    <row r="86" spans="1:13" x14ac:dyDescent="0.2">
      <c r="A86" s="6">
        <v>43217</v>
      </c>
      <c r="B86" s="16">
        <v>15.091100000000001</v>
      </c>
      <c r="C86" s="16">
        <v>11.882400000000001</v>
      </c>
      <c r="D86" s="16">
        <v>12.708399999999999</v>
      </c>
      <c r="E86" s="16">
        <v>18.606999999999999</v>
      </c>
      <c r="F86" s="16">
        <v>12.564399999999999</v>
      </c>
      <c r="G86" s="29">
        <f t="shared" si="9"/>
        <v>15.518737739463592</v>
      </c>
      <c r="H86" s="17">
        <f t="shared" si="10"/>
        <v>18.188893048271389</v>
      </c>
      <c r="I86" s="17">
        <f t="shared" si="11"/>
        <v>12.848582430655794</v>
      </c>
      <c r="J86" s="17">
        <f t="shared" si="12"/>
        <v>20.859048357079189</v>
      </c>
      <c r="K86" s="17">
        <f t="shared" si="13"/>
        <v>10.178427121847996</v>
      </c>
      <c r="L86" s="17">
        <f t="shared" si="14"/>
        <v>-0.16015463147517367</v>
      </c>
      <c r="M86" s="11">
        <f t="shared" si="15"/>
        <v>0.27003803945330906</v>
      </c>
    </row>
    <row r="87" spans="1:13" x14ac:dyDescent="0.2">
      <c r="A87" s="6">
        <v>43224</v>
      </c>
      <c r="B87" s="16">
        <v>14.7742</v>
      </c>
      <c r="C87" s="16">
        <v>11.7257</v>
      </c>
      <c r="D87" s="16">
        <v>12.621499999999999</v>
      </c>
      <c r="E87" s="16">
        <v>18.0349</v>
      </c>
      <c r="F87" s="16">
        <v>12.6389</v>
      </c>
      <c r="G87" s="29">
        <f t="shared" si="9"/>
        <v>15.518737739463592</v>
      </c>
      <c r="H87" s="17">
        <f t="shared" si="10"/>
        <v>18.188893048271389</v>
      </c>
      <c r="I87" s="17">
        <f t="shared" si="11"/>
        <v>12.848582430655794</v>
      </c>
      <c r="J87" s="17">
        <f t="shared" si="12"/>
        <v>20.859048357079189</v>
      </c>
      <c r="K87" s="17">
        <f t="shared" si="13"/>
        <v>10.178427121847996</v>
      </c>
      <c r="L87" s="17">
        <f t="shared" si="14"/>
        <v>-0.27883686653268935</v>
      </c>
      <c r="M87" s="11">
        <f t="shared" si="15"/>
        <v>0.25998447853859474</v>
      </c>
    </row>
    <row r="88" spans="1:13" x14ac:dyDescent="0.2">
      <c r="A88" s="6">
        <v>43231</v>
      </c>
      <c r="B88" s="16">
        <v>15.2624</v>
      </c>
      <c r="C88" s="16">
        <v>12.023</v>
      </c>
      <c r="D88" s="16">
        <v>12.9846</v>
      </c>
      <c r="E88" s="16">
        <v>18.1584</v>
      </c>
      <c r="F88" s="16">
        <v>13.1586</v>
      </c>
      <c r="G88" s="29">
        <f t="shared" si="9"/>
        <v>15.518737739463592</v>
      </c>
      <c r="H88" s="17">
        <f t="shared" si="10"/>
        <v>18.188893048271389</v>
      </c>
      <c r="I88" s="17">
        <f t="shared" si="11"/>
        <v>12.848582430655794</v>
      </c>
      <c r="J88" s="17">
        <f t="shared" si="12"/>
        <v>20.859048357079189</v>
      </c>
      <c r="K88" s="17">
        <f t="shared" si="13"/>
        <v>10.178427121847996</v>
      </c>
      <c r="L88" s="17">
        <f t="shared" si="14"/>
        <v>-9.6001059795299118E-2</v>
      </c>
      <c r="M88" s="11">
        <f t="shared" si="15"/>
        <v>0.26943358562754716</v>
      </c>
    </row>
    <row r="89" spans="1:13" x14ac:dyDescent="0.2">
      <c r="A89" s="6">
        <v>43238</v>
      </c>
      <c r="B89" s="16">
        <v>14.506399999999999</v>
      </c>
      <c r="C89" s="16">
        <v>11.786199999999999</v>
      </c>
      <c r="D89" s="16">
        <v>12.8652</v>
      </c>
      <c r="E89" s="16">
        <v>17.6066</v>
      </c>
      <c r="F89" s="16">
        <v>13.2544</v>
      </c>
      <c r="G89" s="29">
        <f t="shared" si="9"/>
        <v>15.518737739463592</v>
      </c>
      <c r="H89" s="17">
        <f t="shared" si="10"/>
        <v>18.188893048271389</v>
      </c>
      <c r="I89" s="17">
        <f t="shared" si="11"/>
        <v>12.848582430655794</v>
      </c>
      <c r="J89" s="17">
        <f t="shared" si="12"/>
        <v>20.859048357079189</v>
      </c>
      <c r="K89" s="17">
        <f t="shared" si="13"/>
        <v>10.178427121847996</v>
      </c>
      <c r="L89" s="17">
        <f t="shared" si="14"/>
        <v>-0.37913065810227842</v>
      </c>
      <c r="M89" s="11">
        <f t="shared" si="15"/>
        <v>0.2307953369194482</v>
      </c>
    </row>
    <row r="90" spans="1:13" x14ac:dyDescent="0.2">
      <c r="A90" s="6">
        <v>43245</v>
      </c>
      <c r="B90" s="16">
        <v>15.2529</v>
      </c>
      <c r="C90" s="16">
        <v>11.8302</v>
      </c>
      <c r="D90" s="16">
        <v>12.8919</v>
      </c>
      <c r="E90" s="16">
        <v>18.026399999999999</v>
      </c>
      <c r="F90" s="16">
        <v>13.1457</v>
      </c>
      <c r="G90" s="29">
        <f t="shared" si="9"/>
        <v>15.518737739463592</v>
      </c>
      <c r="H90" s="17">
        <f t="shared" si="10"/>
        <v>18.188893048271389</v>
      </c>
      <c r="I90" s="17">
        <f t="shared" si="11"/>
        <v>12.848582430655794</v>
      </c>
      <c r="J90" s="17">
        <f t="shared" si="12"/>
        <v>20.859048357079189</v>
      </c>
      <c r="K90" s="17">
        <f t="shared" si="13"/>
        <v>10.178427121847996</v>
      </c>
      <c r="L90" s="17">
        <f t="shared" si="14"/>
        <v>-9.9558905276669579E-2</v>
      </c>
      <c r="M90" s="11">
        <f t="shared" si="15"/>
        <v>0.28931886189582601</v>
      </c>
    </row>
    <row r="91" spans="1:13" x14ac:dyDescent="0.2">
      <c r="A91" s="6">
        <v>43252</v>
      </c>
      <c r="B91" s="16">
        <v>14.9994</v>
      </c>
      <c r="C91" s="16">
        <v>11.8607</v>
      </c>
      <c r="D91" s="16">
        <v>12.8622</v>
      </c>
      <c r="E91" s="16">
        <v>18.186800000000002</v>
      </c>
      <c r="F91" s="16">
        <v>13.1829</v>
      </c>
      <c r="G91" s="29">
        <f t="shared" si="9"/>
        <v>15.518737739463592</v>
      </c>
      <c r="H91" s="17">
        <f t="shared" si="10"/>
        <v>18.188893048271389</v>
      </c>
      <c r="I91" s="17">
        <f t="shared" si="11"/>
        <v>12.848582430655794</v>
      </c>
      <c r="J91" s="17">
        <f t="shared" si="12"/>
        <v>20.859048357079189</v>
      </c>
      <c r="K91" s="17">
        <f t="shared" si="13"/>
        <v>10.178427121847996</v>
      </c>
      <c r="L91" s="17">
        <f t="shared" si="14"/>
        <v>-0.19449720312166885</v>
      </c>
      <c r="M91" s="11">
        <f t="shared" si="15"/>
        <v>0.26463024947937308</v>
      </c>
    </row>
    <row r="92" spans="1:13" x14ac:dyDescent="0.2">
      <c r="A92" s="6">
        <v>43259</v>
      </c>
      <c r="B92" s="16">
        <v>14.9613</v>
      </c>
      <c r="C92" s="16">
        <v>11.9316</v>
      </c>
      <c r="D92" s="16">
        <v>12.989000000000001</v>
      </c>
      <c r="E92" s="16">
        <v>18.488800000000001</v>
      </c>
      <c r="F92" s="16">
        <v>13.453799999999999</v>
      </c>
      <c r="G92" s="29">
        <f t="shared" si="9"/>
        <v>15.518737739463592</v>
      </c>
      <c r="H92" s="17">
        <f t="shared" si="10"/>
        <v>18.188893048271389</v>
      </c>
      <c r="I92" s="17">
        <f t="shared" si="11"/>
        <v>12.848582430655794</v>
      </c>
      <c r="J92" s="17">
        <f t="shared" si="12"/>
        <v>20.859048357079189</v>
      </c>
      <c r="K92" s="17">
        <f t="shared" si="13"/>
        <v>10.178427121847996</v>
      </c>
      <c r="L92" s="17">
        <f t="shared" si="14"/>
        <v>-0.208766036052219</v>
      </c>
      <c r="M92" s="11">
        <f t="shared" si="15"/>
        <v>0.25392235743739322</v>
      </c>
    </row>
    <row r="93" spans="1:13" x14ac:dyDescent="0.2">
      <c r="A93" s="6">
        <v>43266</v>
      </c>
      <c r="B93" s="16">
        <v>14.962400000000001</v>
      </c>
      <c r="C93" s="16">
        <v>11.777699999999999</v>
      </c>
      <c r="D93" s="16">
        <v>12.868600000000001</v>
      </c>
      <c r="E93" s="16">
        <v>18.5929</v>
      </c>
      <c r="F93" s="16">
        <v>13.3034</v>
      </c>
      <c r="G93" s="29">
        <f t="shared" si="9"/>
        <v>15.518737739463592</v>
      </c>
      <c r="H93" s="17">
        <f t="shared" si="10"/>
        <v>18.188893048271389</v>
      </c>
      <c r="I93" s="17">
        <f t="shared" si="11"/>
        <v>12.848582430655794</v>
      </c>
      <c r="J93" s="17">
        <f t="shared" si="12"/>
        <v>20.859048357079189</v>
      </c>
      <c r="K93" s="17">
        <f t="shared" si="13"/>
        <v>10.178427121847996</v>
      </c>
      <c r="L93" s="17">
        <f t="shared" si="14"/>
        <v>-0.20835407499648095</v>
      </c>
      <c r="M93" s="11">
        <f t="shared" si="15"/>
        <v>0.27040084226971328</v>
      </c>
    </row>
    <row r="94" spans="1:13" x14ac:dyDescent="0.2">
      <c r="A94" s="6">
        <v>43273</v>
      </c>
      <c r="B94" s="16">
        <v>14.427899999999999</v>
      </c>
      <c r="C94" s="16">
        <v>11.599500000000001</v>
      </c>
      <c r="D94" s="16">
        <v>12.5976</v>
      </c>
      <c r="E94" s="16">
        <v>18.4267</v>
      </c>
      <c r="F94" s="16">
        <v>12.9171</v>
      </c>
      <c r="G94" s="29">
        <f t="shared" si="9"/>
        <v>15.518737739463592</v>
      </c>
      <c r="H94" s="17">
        <f t="shared" si="10"/>
        <v>18.188893048271389</v>
      </c>
      <c r="I94" s="17">
        <f t="shared" si="11"/>
        <v>12.848582430655794</v>
      </c>
      <c r="J94" s="17">
        <f t="shared" si="12"/>
        <v>20.859048357079189</v>
      </c>
      <c r="K94" s="17">
        <f t="shared" si="13"/>
        <v>10.178427121847996</v>
      </c>
      <c r="L94" s="17">
        <f t="shared" si="14"/>
        <v>-0.40852969707992115</v>
      </c>
      <c r="M94" s="11">
        <f t="shared" si="15"/>
        <v>0.24383809646967536</v>
      </c>
    </row>
    <row r="95" spans="1:13" x14ac:dyDescent="0.2">
      <c r="A95" s="6">
        <v>43280</v>
      </c>
      <c r="B95" s="16">
        <v>14.3079</v>
      </c>
      <c r="C95" s="16">
        <v>11.507899999999999</v>
      </c>
      <c r="D95" s="16">
        <v>12.4183</v>
      </c>
      <c r="E95" s="16">
        <v>18.104700000000001</v>
      </c>
      <c r="F95" s="16">
        <v>12.678599999999999</v>
      </c>
      <c r="G95" s="29">
        <f t="shared" si="9"/>
        <v>15.518737739463592</v>
      </c>
      <c r="H95" s="17">
        <f t="shared" si="10"/>
        <v>18.188893048271389</v>
      </c>
      <c r="I95" s="17">
        <f t="shared" si="11"/>
        <v>12.848582430655794</v>
      </c>
      <c r="J95" s="17">
        <f t="shared" si="12"/>
        <v>20.859048357079189</v>
      </c>
      <c r="K95" s="17">
        <f t="shared" si="13"/>
        <v>10.178427121847996</v>
      </c>
      <c r="L95" s="17">
        <f t="shared" si="14"/>
        <v>-0.45347090316039373</v>
      </c>
      <c r="M95" s="11">
        <f t="shared" si="15"/>
        <v>0.24331111671112904</v>
      </c>
    </row>
    <row r="96" spans="1:13" x14ac:dyDescent="0.2">
      <c r="A96" s="6">
        <v>43287</v>
      </c>
      <c r="B96" s="16">
        <v>14.063499999999999</v>
      </c>
      <c r="C96" s="16">
        <v>11.455</v>
      </c>
      <c r="D96" s="16">
        <v>12.2681</v>
      </c>
      <c r="E96" s="16">
        <v>18.5031</v>
      </c>
      <c r="F96" s="16">
        <v>12.476000000000001</v>
      </c>
      <c r="G96" s="29">
        <f t="shared" si="9"/>
        <v>15.518737739463592</v>
      </c>
      <c r="H96" s="17">
        <f t="shared" si="10"/>
        <v>18.188893048271389</v>
      </c>
      <c r="I96" s="17">
        <f t="shared" si="11"/>
        <v>12.848582430655794</v>
      </c>
      <c r="J96" s="17">
        <f t="shared" si="12"/>
        <v>20.859048357079189</v>
      </c>
      <c r="K96" s="17">
        <f t="shared" si="13"/>
        <v>10.178427121847996</v>
      </c>
      <c r="L96" s="17">
        <f t="shared" si="14"/>
        <v>-0.5450011595442904</v>
      </c>
      <c r="M96" s="11">
        <f t="shared" si="15"/>
        <v>0.22771715408118709</v>
      </c>
    </row>
    <row r="97" spans="1:13" x14ac:dyDescent="0.2">
      <c r="A97" s="6">
        <v>43294</v>
      </c>
      <c r="B97" s="16">
        <v>14.874700000000001</v>
      </c>
      <c r="C97" s="16">
        <v>11.680199999999999</v>
      </c>
      <c r="D97" s="16">
        <v>12.568300000000001</v>
      </c>
      <c r="E97" s="16">
        <v>18.731100000000001</v>
      </c>
      <c r="F97" s="16">
        <v>12.680099999999999</v>
      </c>
      <c r="G97" s="29">
        <f t="shared" si="9"/>
        <v>15.518737739463592</v>
      </c>
      <c r="H97" s="17">
        <f t="shared" si="10"/>
        <v>18.188893048271389</v>
      </c>
      <c r="I97" s="17">
        <f t="shared" si="11"/>
        <v>12.848582430655794</v>
      </c>
      <c r="J97" s="17">
        <f t="shared" si="12"/>
        <v>20.859048357079189</v>
      </c>
      <c r="K97" s="17">
        <f t="shared" si="13"/>
        <v>10.178427121847996</v>
      </c>
      <c r="L97" s="17">
        <f t="shared" si="14"/>
        <v>-0.2411986064402932</v>
      </c>
      <c r="M97" s="11">
        <f t="shared" si="15"/>
        <v>0.2734970291604597</v>
      </c>
    </row>
    <row r="98" spans="1:13" x14ac:dyDescent="0.2">
      <c r="A98" s="6">
        <v>43301</v>
      </c>
      <c r="B98" s="16">
        <v>14.706</v>
      </c>
      <c r="C98" s="16">
        <v>11.630599999999999</v>
      </c>
      <c r="D98" s="16">
        <v>12.5143</v>
      </c>
      <c r="E98" s="16">
        <v>18.842300000000002</v>
      </c>
      <c r="F98" s="16">
        <v>12.5684</v>
      </c>
      <c r="G98" s="29">
        <f t="shared" si="9"/>
        <v>15.518737739463592</v>
      </c>
      <c r="H98" s="17">
        <f t="shared" si="10"/>
        <v>18.188893048271389</v>
      </c>
      <c r="I98" s="17">
        <f t="shared" si="11"/>
        <v>12.848582430655794</v>
      </c>
      <c r="J98" s="17">
        <f t="shared" si="12"/>
        <v>20.859048357079189</v>
      </c>
      <c r="K98" s="17">
        <f t="shared" si="13"/>
        <v>10.178427121847996</v>
      </c>
      <c r="L98" s="17">
        <f t="shared" si="14"/>
        <v>-0.30437845198842511</v>
      </c>
      <c r="M98" s="11">
        <f t="shared" si="15"/>
        <v>0.26442315959623763</v>
      </c>
    </row>
    <row r="99" spans="1:13" x14ac:dyDescent="0.2">
      <c r="A99" s="6">
        <v>43308</v>
      </c>
      <c r="B99" s="16">
        <v>15.0555</v>
      </c>
      <c r="C99" s="16">
        <v>11.853199999999999</v>
      </c>
      <c r="D99" s="16">
        <v>12.401400000000001</v>
      </c>
      <c r="E99" s="16">
        <v>13.0077</v>
      </c>
      <c r="F99" s="16">
        <v>12.8315</v>
      </c>
      <c r="G99" s="29">
        <f t="shared" si="9"/>
        <v>15.518737739463592</v>
      </c>
      <c r="H99" s="17">
        <f t="shared" si="10"/>
        <v>18.188893048271389</v>
      </c>
      <c r="I99" s="17">
        <f t="shared" si="11"/>
        <v>12.848582430655794</v>
      </c>
      <c r="J99" s="17">
        <f t="shared" si="12"/>
        <v>20.859048357079189</v>
      </c>
      <c r="K99" s="17">
        <f t="shared" si="13"/>
        <v>10.178427121847996</v>
      </c>
      <c r="L99" s="17">
        <f t="shared" si="14"/>
        <v>-0.17348718927904749</v>
      </c>
      <c r="M99" s="11">
        <f t="shared" si="15"/>
        <v>0.27016333142105098</v>
      </c>
    </row>
    <row r="100" spans="1:13" x14ac:dyDescent="0.2">
      <c r="A100" s="6">
        <v>43315</v>
      </c>
      <c r="B100" s="16">
        <v>15.240600000000001</v>
      </c>
      <c r="C100" s="16">
        <v>11.674899999999999</v>
      </c>
      <c r="D100" s="16">
        <v>12.1303</v>
      </c>
      <c r="E100" s="16">
        <v>13.428000000000001</v>
      </c>
      <c r="F100" s="16">
        <v>12.2342</v>
      </c>
      <c r="G100" s="29">
        <f t="shared" si="9"/>
        <v>15.518737739463592</v>
      </c>
      <c r="H100" s="17">
        <f t="shared" si="10"/>
        <v>18.188893048271389</v>
      </c>
      <c r="I100" s="17">
        <f t="shared" si="11"/>
        <v>12.848582430655794</v>
      </c>
      <c r="J100" s="17">
        <f t="shared" si="12"/>
        <v>20.859048357079189</v>
      </c>
      <c r="K100" s="17">
        <f t="shared" si="13"/>
        <v>10.178427121847996</v>
      </c>
      <c r="L100" s="17">
        <f t="shared" si="14"/>
        <v>-0.10416537889991796</v>
      </c>
      <c r="M100" s="11">
        <f t="shared" si="15"/>
        <v>0.30541589221320975</v>
      </c>
    </row>
    <row r="101" spans="1:13" x14ac:dyDescent="0.2">
      <c r="A101" s="6">
        <v>43322</v>
      </c>
      <c r="B101" s="16">
        <v>15.517099999999999</v>
      </c>
      <c r="C101" s="16">
        <v>11.6272</v>
      </c>
      <c r="D101" s="16">
        <v>12.277900000000001</v>
      </c>
      <c r="E101" s="16">
        <v>13.5298</v>
      </c>
      <c r="F101" s="16">
        <v>12.542299999999999</v>
      </c>
      <c r="G101" s="29">
        <f t="shared" si="9"/>
        <v>15.518737739463592</v>
      </c>
      <c r="H101" s="17">
        <f t="shared" si="10"/>
        <v>18.188893048271389</v>
      </c>
      <c r="I101" s="17">
        <f t="shared" si="11"/>
        <v>12.848582430655794</v>
      </c>
      <c r="J101" s="17">
        <f t="shared" si="12"/>
        <v>20.859048357079189</v>
      </c>
      <c r="K101" s="17">
        <f t="shared" si="13"/>
        <v>10.178427121847996</v>
      </c>
      <c r="L101" s="17">
        <f t="shared" si="14"/>
        <v>-6.1334988949551859E-4</v>
      </c>
      <c r="M101" s="11">
        <f t="shared" si="15"/>
        <v>0.33455174074583716</v>
      </c>
    </row>
    <row r="102" spans="1:13" x14ac:dyDescent="0.2">
      <c r="A102" s="6">
        <v>43329</v>
      </c>
      <c r="B102" s="16">
        <v>14.622199999999999</v>
      </c>
      <c r="C102" s="16">
        <v>11.3635</v>
      </c>
      <c r="D102" s="16">
        <v>11.964499999999999</v>
      </c>
      <c r="E102" s="16">
        <v>13.6937</v>
      </c>
      <c r="F102" s="16">
        <v>11.959</v>
      </c>
      <c r="G102" s="29">
        <f t="shared" si="9"/>
        <v>15.518737739463592</v>
      </c>
      <c r="H102" s="17">
        <f t="shared" si="10"/>
        <v>18.188893048271389</v>
      </c>
      <c r="I102" s="17">
        <f t="shared" si="11"/>
        <v>12.848582430655794</v>
      </c>
      <c r="J102" s="17">
        <f t="shared" si="12"/>
        <v>20.859048357079189</v>
      </c>
      <c r="K102" s="17">
        <f t="shared" si="13"/>
        <v>10.178427121847996</v>
      </c>
      <c r="L102" s="17">
        <f t="shared" si="14"/>
        <v>-0.33576239423462206</v>
      </c>
      <c r="M102" s="11">
        <f t="shared" si="15"/>
        <v>0.28676904122849467</v>
      </c>
    </row>
    <row r="103" spans="1:13" x14ac:dyDescent="0.2">
      <c r="A103" s="6">
        <v>43336</v>
      </c>
      <c r="B103" s="16">
        <v>15.277200000000001</v>
      </c>
      <c r="C103" s="16">
        <v>11.701599999999999</v>
      </c>
      <c r="D103" s="16">
        <v>12.2415</v>
      </c>
      <c r="E103" s="16">
        <v>13.899800000000001</v>
      </c>
      <c r="F103" s="16">
        <v>12.4657</v>
      </c>
      <c r="G103" s="29">
        <f t="shared" si="9"/>
        <v>15.518737739463592</v>
      </c>
      <c r="H103" s="17">
        <f t="shared" si="10"/>
        <v>18.188893048271389</v>
      </c>
      <c r="I103" s="17">
        <f t="shared" si="11"/>
        <v>12.848582430655794</v>
      </c>
      <c r="J103" s="17">
        <f t="shared" si="12"/>
        <v>20.859048357079189</v>
      </c>
      <c r="K103" s="17">
        <f t="shared" si="13"/>
        <v>10.178427121847996</v>
      </c>
      <c r="L103" s="17">
        <f t="shared" si="14"/>
        <v>-9.0458311045373746E-2</v>
      </c>
      <c r="M103" s="11">
        <f t="shared" si="15"/>
        <v>0.30556505093320596</v>
      </c>
    </row>
    <row r="104" spans="1:13" x14ac:dyDescent="0.2">
      <c r="A104" s="6">
        <v>43343</v>
      </c>
      <c r="B104" s="16">
        <v>15.407500000000001</v>
      </c>
      <c r="C104" s="16">
        <v>11.7958</v>
      </c>
      <c r="D104" s="16">
        <v>12.336600000000001</v>
      </c>
      <c r="E104" s="16">
        <v>14.064299999999999</v>
      </c>
      <c r="F104" s="16">
        <v>12.413</v>
      </c>
      <c r="G104" s="29">
        <f t="shared" si="9"/>
        <v>15.518737739463592</v>
      </c>
      <c r="H104" s="17">
        <f t="shared" si="10"/>
        <v>18.188893048271389</v>
      </c>
      <c r="I104" s="17">
        <f t="shared" si="11"/>
        <v>12.848582430655794</v>
      </c>
      <c r="J104" s="17">
        <f t="shared" si="12"/>
        <v>20.859048357079189</v>
      </c>
      <c r="K104" s="17">
        <f t="shared" si="13"/>
        <v>10.178427121847996</v>
      </c>
      <c r="L104" s="17">
        <f t="shared" si="14"/>
        <v>-4.1659651442993564E-2</v>
      </c>
      <c r="M104" s="11">
        <f t="shared" si="15"/>
        <v>0.30618525237796512</v>
      </c>
    </row>
    <row r="105" spans="1:13" x14ac:dyDescent="0.2">
      <c r="A105" s="6">
        <v>43350</v>
      </c>
      <c r="B105" s="16">
        <v>14.9779</v>
      </c>
      <c r="C105" s="16">
        <v>11.4832</v>
      </c>
      <c r="D105" s="16">
        <v>11.9986</v>
      </c>
      <c r="E105" s="16">
        <v>14.1318</v>
      </c>
      <c r="F105" s="16">
        <v>11.9131</v>
      </c>
      <c r="G105" s="29">
        <f t="shared" si="9"/>
        <v>15.518737739463592</v>
      </c>
      <c r="H105" s="17">
        <f t="shared" si="10"/>
        <v>18.188893048271389</v>
      </c>
      <c r="I105" s="17">
        <f t="shared" si="11"/>
        <v>12.848582430655794</v>
      </c>
      <c r="J105" s="17">
        <f t="shared" si="12"/>
        <v>20.859048357079189</v>
      </c>
      <c r="K105" s="17">
        <f t="shared" si="13"/>
        <v>10.178427121847996</v>
      </c>
      <c r="L105" s="17">
        <f t="shared" si="14"/>
        <v>-0.20254916921108676</v>
      </c>
      <c r="M105" s="11">
        <f t="shared" si="15"/>
        <v>0.30433154521387773</v>
      </c>
    </row>
    <row r="106" spans="1:13" x14ac:dyDescent="0.2">
      <c r="A106" s="6">
        <v>43357</v>
      </c>
      <c r="B106" s="16">
        <v>15.165100000000001</v>
      </c>
      <c r="C106" s="16">
        <v>11.540100000000001</v>
      </c>
      <c r="D106" s="16">
        <v>12.112299999999999</v>
      </c>
      <c r="E106" s="16">
        <v>14.033899999999999</v>
      </c>
      <c r="F106" s="16">
        <v>12.006</v>
      </c>
      <c r="G106" s="29">
        <f t="shared" si="9"/>
        <v>15.518737739463592</v>
      </c>
      <c r="H106" s="17">
        <f t="shared" si="10"/>
        <v>18.188893048271389</v>
      </c>
      <c r="I106" s="17">
        <f t="shared" si="11"/>
        <v>12.848582430655794</v>
      </c>
      <c r="J106" s="17">
        <f t="shared" si="12"/>
        <v>20.859048357079189</v>
      </c>
      <c r="K106" s="17">
        <f t="shared" si="13"/>
        <v>10.178427121847996</v>
      </c>
      <c r="L106" s="17">
        <f t="shared" si="14"/>
        <v>-0.13244088772554879</v>
      </c>
      <c r="M106" s="11">
        <f t="shared" si="15"/>
        <v>0.31412206133395726</v>
      </c>
    </row>
    <row r="107" spans="1:13" x14ac:dyDescent="0.2">
      <c r="A107" s="6">
        <v>43364</v>
      </c>
      <c r="B107" s="16">
        <v>15.2925</v>
      </c>
      <c r="C107" s="16">
        <v>11.7723</v>
      </c>
      <c r="D107" s="16">
        <v>12.347</v>
      </c>
      <c r="E107" s="16">
        <v>13.575200000000001</v>
      </c>
      <c r="F107" s="16">
        <v>12.4651</v>
      </c>
      <c r="G107" s="29">
        <f t="shared" si="9"/>
        <v>15.518737739463592</v>
      </c>
      <c r="H107" s="17">
        <f t="shared" si="10"/>
        <v>18.188893048271389</v>
      </c>
      <c r="I107" s="17">
        <f t="shared" si="11"/>
        <v>12.848582430655794</v>
      </c>
      <c r="J107" s="17">
        <f t="shared" si="12"/>
        <v>20.859048357079189</v>
      </c>
      <c r="K107" s="17">
        <f t="shared" si="13"/>
        <v>10.178427121847996</v>
      </c>
      <c r="L107" s="17">
        <f t="shared" si="14"/>
        <v>-8.4728307270113504E-2</v>
      </c>
      <c r="M107" s="11">
        <f t="shared" si="15"/>
        <v>0.2990239800208967</v>
      </c>
    </row>
    <row r="108" spans="1:13" x14ac:dyDescent="0.2">
      <c r="A108" s="6">
        <v>43371</v>
      </c>
      <c r="B108" s="16">
        <v>15.4541</v>
      </c>
      <c r="C108" s="16">
        <v>11.686999999999999</v>
      </c>
      <c r="D108" s="16">
        <v>12.2729</v>
      </c>
      <c r="E108" s="16">
        <v>13.243</v>
      </c>
      <c r="F108" s="16">
        <v>12.3963</v>
      </c>
      <c r="G108" s="29">
        <f t="shared" si="9"/>
        <v>15.518737739463592</v>
      </c>
      <c r="H108" s="17">
        <f t="shared" si="10"/>
        <v>18.188893048271389</v>
      </c>
      <c r="I108" s="17">
        <f t="shared" si="11"/>
        <v>12.848582430655794</v>
      </c>
      <c r="J108" s="17">
        <f t="shared" si="12"/>
        <v>20.859048357079189</v>
      </c>
      <c r="K108" s="17">
        <f t="shared" si="13"/>
        <v>10.178427121847996</v>
      </c>
      <c r="L108" s="17">
        <f t="shared" si="14"/>
        <v>-2.420748308174335E-2</v>
      </c>
      <c r="M108" s="11">
        <f t="shared" si="15"/>
        <v>0.32233250620347409</v>
      </c>
    </row>
    <row r="109" spans="1:13" x14ac:dyDescent="0.2">
      <c r="A109" s="6">
        <v>43378</v>
      </c>
      <c r="B109" s="16">
        <v>14.5562</v>
      </c>
      <c r="C109" s="16">
        <v>11.2014</v>
      </c>
      <c r="D109" s="16">
        <v>11.6929</v>
      </c>
      <c r="E109" s="16">
        <v>12.409700000000001</v>
      </c>
      <c r="F109" s="16">
        <v>11.726100000000001</v>
      </c>
      <c r="G109" s="29">
        <f t="shared" si="9"/>
        <v>15.518737739463592</v>
      </c>
      <c r="H109" s="17">
        <f t="shared" si="10"/>
        <v>18.188893048271389</v>
      </c>
      <c r="I109" s="17">
        <f t="shared" si="11"/>
        <v>12.848582430655794</v>
      </c>
      <c r="J109" s="17">
        <f t="shared" si="12"/>
        <v>20.859048357079189</v>
      </c>
      <c r="K109" s="17">
        <f t="shared" si="13"/>
        <v>10.178427121847996</v>
      </c>
      <c r="L109" s="17">
        <f t="shared" si="14"/>
        <v>-0.36048005757888174</v>
      </c>
      <c r="M109" s="11">
        <f t="shared" si="15"/>
        <v>0.29949827700108922</v>
      </c>
    </row>
    <row r="110" spans="1:13" x14ac:dyDescent="0.2">
      <c r="A110" s="6">
        <v>43385</v>
      </c>
      <c r="B110" s="16">
        <v>14.6426</v>
      </c>
      <c r="C110" s="16">
        <v>11.0288</v>
      </c>
      <c r="D110" s="16">
        <v>11.4268</v>
      </c>
      <c r="E110" s="16">
        <v>12.573399999999999</v>
      </c>
      <c r="F110" s="16">
        <v>11.383900000000001</v>
      </c>
      <c r="G110" s="29">
        <f t="shared" si="9"/>
        <v>15.518737739463592</v>
      </c>
      <c r="H110" s="17">
        <f t="shared" si="10"/>
        <v>18.188893048271389</v>
      </c>
      <c r="I110" s="17">
        <f t="shared" si="11"/>
        <v>12.848582430655794</v>
      </c>
      <c r="J110" s="17">
        <f t="shared" si="12"/>
        <v>20.859048357079189</v>
      </c>
      <c r="K110" s="17">
        <f t="shared" si="13"/>
        <v>10.178427121847996</v>
      </c>
      <c r="L110" s="17">
        <f t="shared" si="14"/>
        <v>-0.3281223892009415</v>
      </c>
      <c r="M110" s="11">
        <f t="shared" si="15"/>
        <v>0.32766937472798485</v>
      </c>
    </row>
    <row r="111" spans="1:13" x14ac:dyDescent="0.2">
      <c r="A111" s="6">
        <v>43392</v>
      </c>
      <c r="B111" s="16">
        <v>15.019600000000001</v>
      </c>
      <c r="C111" s="16">
        <v>10.904199999999999</v>
      </c>
      <c r="D111" s="16">
        <v>11.3011</v>
      </c>
      <c r="E111" s="16">
        <v>12.4208</v>
      </c>
      <c r="F111" s="16">
        <v>11.2179</v>
      </c>
      <c r="G111" s="29">
        <f t="shared" si="9"/>
        <v>15.518737739463592</v>
      </c>
      <c r="H111" s="17">
        <f t="shared" si="10"/>
        <v>18.188893048271389</v>
      </c>
      <c r="I111" s="17">
        <f t="shared" si="11"/>
        <v>12.848582430655794</v>
      </c>
      <c r="J111" s="17">
        <f t="shared" si="12"/>
        <v>20.859048357079189</v>
      </c>
      <c r="K111" s="17">
        <f t="shared" si="13"/>
        <v>10.178427121847996</v>
      </c>
      <c r="L111" s="17">
        <f t="shared" si="14"/>
        <v>-0.18693210009812225</v>
      </c>
      <c r="M111" s="11">
        <f t="shared" si="15"/>
        <v>0.3774142073696376</v>
      </c>
    </row>
    <row r="112" spans="1:13" x14ac:dyDescent="0.2">
      <c r="A112" s="6">
        <v>43399</v>
      </c>
      <c r="B112" s="16">
        <v>14.8171</v>
      </c>
      <c r="C112" s="16">
        <v>10.640599999999999</v>
      </c>
      <c r="D112" s="16">
        <v>10.9969</v>
      </c>
      <c r="E112" s="16">
        <v>12.2216</v>
      </c>
      <c r="F112" s="16">
        <v>10.9811</v>
      </c>
      <c r="G112" s="29">
        <f t="shared" si="9"/>
        <v>15.518737739463592</v>
      </c>
      <c r="H112" s="17">
        <f t="shared" si="10"/>
        <v>18.188893048271389</v>
      </c>
      <c r="I112" s="17">
        <f t="shared" si="11"/>
        <v>12.848582430655794</v>
      </c>
      <c r="J112" s="17">
        <f t="shared" si="12"/>
        <v>20.859048357079189</v>
      </c>
      <c r="K112" s="17">
        <f t="shared" si="13"/>
        <v>10.178427121847996</v>
      </c>
      <c r="L112" s="17">
        <f t="shared" si="14"/>
        <v>-0.26277038535892044</v>
      </c>
      <c r="M112" s="11">
        <f t="shared" si="15"/>
        <v>0.39250606168825075</v>
      </c>
    </row>
    <row r="113" spans="1:13" x14ac:dyDescent="0.2">
      <c r="A113" s="6">
        <v>43406</v>
      </c>
      <c r="B113" s="16">
        <v>15.5924</v>
      </c>
      <c r="C113" s="16">
        <v>11.3065</v>
      </c>
      <c r="D113" s="16">
        <v>11.7415</v>
      </c>
      <c r="E113" s="16">
        <v>13.017200000000001</v>
      </c>
      <c r="F113" s="16">
        <v>11.877000000000001</v>
      </c>
      <c r="G113" s="29">
        <f t="shared" si="9"/>
        <v>15.518737739463592</v>
      </c>
      <c r="H113" s="17">
        <f t="shared" si="10"/>
        <v>18.188893048271389</v>
      </c>
      <c r="I113" s="17">
        <f t="shared" si="11"/>
        <v>12.848582430655794</v>
      </c>
      <c r="J113" s="17">
        <f t="shared" si="12"/>
        <v>20.859048357079189</v>
      </c>
      <c r="K113" s="17">
        <f t="shared" si="13"/>
        <v>10.178427121847996</v>
      </c>
      <c r="L113" s="17">
        <f t="shared" si="14"/>
        <v>2.758725692600136E-2</v>
      </c>
      <c r="M113" s="11">
        <f t="shared" si="15"/>
        <v>0.37906513952151411</v>
      </c>
    </row>
    <row r="114" spans="1:13" x14ac:dyDescent="0.2">
      <c r="A114" s="6">
        <v>43413</v>
      </c>
      <c r="B114" s="16">
        <v>15.5075</v>
      </c>
      <c r="C114" s="16">
        <v>11.058999999999999</v>
      </c>
      <c r="D114" s="16">
        <v>11.459899999999999</v>
      </c>
      <c r="E114" s="16">
        <v>13.1036</v>
      </c>
      <c r="F114" s="16">
        <v>11.4915</v>
      </c>
      <c r="G114" s="29">
        <f t="shared" si="9"/>
        <v>15.518737739463592</v>
      </c>
      <c r="H114" s="17">
        <f t="shared" si="10"/>
        <v>18.188893048271389</v>
      </c>
      <c r="I114" s="17">
        <f t="shared" si="11"/>
        <v>12.848582430655794</v>
      </c>
      <c r="J114" s="17">
        <f t="shared" si="12"/>
        <v>20.859048357079189</v>
      </c>
      <c r="K114" s="17">
        <f t="shared" si="13"/>
        <v>10.178427121847996</v>
      </c>
      <c r="L114" s="17">
        <f t="shared" si="14"/>
        <v>-4.208646375932954E-3</v>
      </c>
      <c r="M114" s="11">
        <f t="shared" si="15"/>
        <v>0.40225155981553495</v>
      </c>
    </row>
    <row r="115" spans="1:13" x14ac:dyDescent="0.2">
      <c r="A115" s="6">
        <v>43420</v>
      </c>
      <c r="B115" s="16">
        <v>16.050699999999999</v>
      </c>
      <c r="C115" s="16">
        <v>11.241400000000001</v>
      </c>
      <c r="D115" s="16">
        <v>11.6622</v>
      </c>
      <c r="E115" s="16">
        <v>13.1579</v>
      </c>
      <c r="F115" s="16">
        <v>11.858599999999999</v>
      </c>
      <c r="G115" s="29">
        <f t="shared" si="9"/>
        <v>15.518737739463592</v>
      </c>
      <c r="H115" s="17">
        <f t="shared" si="10"/>
        <v>18.188893048271389</v>
      </c>
      <c r="I115" s="17">
        <f t="shared" si="11"/>
        <v>12.848582430655794</v>
      </c>
      <c r="J115" s="17">
        <f t="shared" si="12"/>
        <v>20.859048357079189</v>
      </c>
      <c r="K115" s="17">
        <f t="shared" si="13"/>
        <v>10.178427121847996</v>
      </c>
      <c r="L115" s="17">
        <f t="shared" si="14"/>
        <v>0.19922521314834055</v>
      </c>
      <c r="M115" s="11">
        <f t="shared" si="15"/>
        <v>0.42782037824470254</v>
      </c>
    </row>
    <row r="116" spans="1:13" x14ac:dyDescent="0.2">
      <c r="A116" s="6">
        <v>43427</v>
      </c>
      <c r="B116" s="16">
        <v>16.043800000000001</v>
      </c>
      <c r="C116" s="16">
        <v>11.1485</v>
      </c>
      <c r="D116" s="16">
        <v>11.5031</v>
      </c>
      <c r="E116" s="16">
        <v>12.9375</v>
      </c>
      <c r="F116" s="16">
        <v>11.643000000000001</v>
      </c>
      <c r="G116" s="29">
        <f t="shared" si="9"/>
        <v>15.518737739463592</v>
      </c>
      <c r="H116" s="17">
        <f t="shared" si="10"/>
        <v>18.188893048271389</v>
      </c>
      <c r="I116" s="17">
        <f t="shared" si="11"/>
        <v>12.848582430655794</v>
      </c>
      <c r="J116" s="17">
        <f t="shared" si="12"/>
        <v>20.859048357079189</v>
      </c>
      <c r="K116" s="17">
        <f t="shared" si="13"/>
        <v>10.178427121847996</v>
      </c>
      <c r="L116" s="17">
        <f t="shared" si="14"/>
        <v>0.19664109379871406</v>
      </c>
      <c r="M116" s="11">
        <f t="shared" si="15"/>
        <v>0.43909943041664801</v>
      </c>
    </row>
    <row r="117" spans="1:13" x14ac:dyDescent="0.2">
      <c r="A117" s="6">
        <v>43434</v>
      </c>
      <c r="B117" s="16">
        <v>16.088200000000001</v>
      </c>
      <c r="C117" s="16">
        <v>11.542999999999999</v>
      </c>
      <c r="D117" s="16">
        <v>11.8245</v>
      </c>
      <c r="E117" s="16">
        <v>13.3947</v>
      </c>
      <c r="F117" s="16">
        <v>12.083399999999999</v>
      </c>
      <c r="G117" s="29">
        <f t="shared" si="9"/>
        <v>15.518737739463592</v>
      </c>
      <c r="H117" s="17">
        <f t="shared" si="10"/>
        <v>18.188893048271389</v>
      </c>
      <c r="I117" s="17">
        <f t="shared" si="11"/>
        <v>12.848582430655794</v>
      </c>
      <c r="J117" s="17">
        <f t="shared" si="12"/>
        <v>20.859048357079189</v>
      </c>
      <c r="K117" s="17">
        <f t="shared" si="13"/>
        <v>10.178427121847996</v>
      </c>
      <c r="L117" s="17">
        <f t="shared" si="14"/>
        <v>0.21326934004848888</v>
      </c>
      <c r="M117" s="11">
        <f t="shared" si="15"/>
        <v>0.3937624534349824</v>
      </c>
    </row>
    <row r="118" spans="1:13" x14ac:dyDescent="0.2">
      <c r="A118" s="6">
        <v>43441</v>
      </c>
      <c r="B118" s="16">
        <v>16.316299999999998</v>
      </c>
      <c r="C118" s="16">
        <v>11.394500000000001</v>
      </c>
      <c r="D118" s="16">
        <v>11.7218</v>
      </c>
      <c r="E118" s="16">
        <v>13.1571</v>
      </c>
      <c r="F118" s="16">
        <v>11.835800000000001</v>
      </c>
      <c r="G118" s="29">
        <f t="shared" si="9"/>
        <v>15.518737739463592</v>
      </c>
      <c r="H118" s="17">
        <f t="shared" si="10"/>
        <v>18.188893048271389</v>
      </c>
      <c r="I118" s="17">
        <f t="shared" si="11"/>
        <v>12.848582430655794</v>
      </c>
      <c r="J118" s="17">
        <f t="shared" si="12"/>
        <v>20.859048357079189</v>
      </c>
      <c r="K118" s="17">
        <f t="shared" si="13"/>
        <v>10.178427121847996</v>
      </c>
      <c r="L118" s="17">
        <f t="shared" si="14"/>
        <v>0.29869508260645361</v>
      </c>
      <c r="M118" s="11">
        <f t="shared" si="15"/>
        <v>0.43194523673702201</v>
      </c>
    </row>
    <row r="119" spans="1:13" x14ac:dyDescent="0.2">
      <c r="A119" s="6">
        <v>43448</v>
      </c>
      <c r="B119" s="16">
        <v>16.422899999999998</v>
      </c>
      <c r="C119" s="16">
        <v>11.2746</v>
      </c>
      <c r="D119" s="16">
        <v>11.7271</v>
      </c>
      <c r="E119" s="16">
        <v>13.378399999999999</v>
      </c>
      <c r="F119" s="16">
        <v>11.8375</v>
      </c>
      <c r="G119" s="29">
        <f t="shared" si="9"/>
        <v>15.518737739463592</v>
      </c>
      <c r="H119" s="17">
        <f t="shared" si="10"/>
        <v>18.188893048271389</v>
      </c>
      <c r="I119" s="17">
        <f t="shared" si="11"/>
        <v>12.848582430655794</v>
      </c>
      <c r="J119" s="17">
        <f t="shared" si="12"/>
        <v>20.859048357079189</v>
      </c>
      <c r="K119" s="17">
        <f t="shared" si="13"/>
        <v>10.178427121847996</v>
      </c>
      <c r="L119" s="17">
        <f t="shared" si="14"/>
        <v>0.33861785400794042</v>
      </c>
      <c r="M119" s="11">
        <f t="shared" si="15"/>
        <v>0.456628173061572</v>
      </c>
    </row>
    <row r="120" spans="1:13" x14ac:dyDescent="0.2">
      <c r="A120" s="6">
        <v>43455</v>
      </c>
      <c r="B120" s="16">
        <v>16.315799999999999</v>
      </c>
      <c r="C120" s="16">
        <v>11.1501</v>
      </c>
      <c r="D120" s="16">
        <v>11.556699999999999</v>
      </c>
      <c r="E120" s="16">
        <v>13.3</v>
      </c>
      <c r="F120" s="16">
        <v>11.347799999999999</v>
      </c>
      <c r="G120" s="29">
        <f t="shared" si="9"/>
        <v>15.518737739463592</v>
      </c>
      <c r="H120" s="17">
        <f t="shared" si="10"/>
        <v>18.188893048271389</v>
      </c>
      <c r="I120" s="17">
        <f t="shared" si="11"/>
        <v>12.848582430655794</v>
      </c>
      <c r="J120" s="17">
        <f t="shared" si="12"/>
        <v>20.859048357079189</v>
      </c>
      <c r="K120" s="17">
        <f t="shared" si="13"/>
        <v>10.178427121847996</v>
      </c>
      <c r="L120" s="17">
        <f t="shared" si="14"/>
        <v>0.29850782758111871</v>
      </c>
      <c r="M120" s="11">
        <f t="shared" si="15"/>
        <v>0.46328732477735612</v>
      </c>
    </row>
    <row r="121" spans="1:13" x14ac:dyDescent="0.2">
      <c r="A121" s="6">
        <v>43462</v>
      </c>
      <c r="B121" s="16">
        <v>16.3368</v>
      </c>
      <c r="C121" s="16">
        <v>11.2164</v>
      </c>
      <c r="D121" s="16">
        <v>11.5693</v>
      </c>
      <c r="E121" s="16">
        <v>13.438800000000001</v>
      </c>
      <c r="F121" s="16">
        <v>11.368399999999999</v>
      </c>
      <c r="G121" s="29">
        <f t="shared" si="9"/>
        <v>15.518737739463592</v>
      </c>
      <c r="H121" s="17">
        <f t="shared" si="10"/>
        <v>18.188893048271389</v>
      </c>
      <c r="I121" s="17">
        <f t="shared" si="11"/>
        <v>12.848582430655794</v>
      </c>
      <c r="J121" s="17">
        <f t="shared" si="12"/>
        <v>20.859048357079189</v>
      </c>
      <c r="K121" s="17">
        <f t="shared" si="13"/>
        <v>10.178427121847996</v>
      </c>
      <c r="L121" s="17">
        <f t="shared" si="14"/>
        <v>0.30637253864520175</v>
      </c>
      <c r="M121" s="11">
        <f t="shared" si="15"/>
        <v>0.45651011019578469</v>
      </c>
    </row>
    <row r="122" spans="1:13" x14ac:dyDescent="0.2">
      <c r="A122" s="6">
        <v>43469</v>
      </c>
      <c r="B122" s="16">
        <v>16.5535</v>
      </c>
      <c r="C122" s="16">
        <v>11.223800000000001</v>
      </c>
      <c r="D122" s="16">
        <v>11.414099999999999</v>
      </c>
      <c r="E122" s="16">
        <v>13.245799999999999</v>
      </c>
      <c r="F122" s="16">
        <v>11.335699999999999</v>
      </c>
      <c r="G122" s="29">
        <f t="shared" si="9"/>
        <v>15.518737739463592</v>
      </c>
      <c r="H122" s="17">
        <f t="shared" si="10"/>
        <v>18.188893048271389</v>
      </c>
      <c r="I122" s="17">
        <f t="shared" si="11"/>
        <v>12.848582430655794</v>
      </c>
      <c r="J122" s="17">
        <f t="shared" si="12"/>
        <v>20.859048357079189</v>
      </c>
      <c r="K122" s="17">
        <f t="shared" si="13"/>
        <v>10.178427121847996</v>
      </c>
      <c r="L122" s="17">
        <f t="shared" si="14"/>
        <v>0.38752886662552222</v>
      </c>
      <c r="M122" s="11">
        <f t="shared" si="15"/>
        <v>0.47485700030292755</v>
      </c>
    </row>
    <row r="123" spans="1:13" x14ac:dyDescent="0.2">
      <c r="A123" s="6">
        <v>43476</v>
      </c>
      <c r="B123" s="16">
        <v>16.8919</v>
      </c>
      <c r="C123" s="16">
        <v>11.665800000000001</v>
      </c>
      <c r="D123" s="16">
        <v>11.9734</v>
      </c>
      <c r="E123" s="16">
        <v>13.071300000000001</v>
      </c>
      <c r="F123" s="16">
        <v>11.9862</v>
      </c>
      <c r="G123" s="29">
        <f t="shared" si="9"/>
        <v>15.518737739463592</v>
      </c>
      <c r="H123" s="17">
        <f t="shared" si="10"/>
        <v>18.188893048271389</v>
      </c>
      <c r="I123" s="17">
        <f t="shared" si="11"/>
        <v>12.848582430655794</v>
      </c>
      <c r="J123" s="17">
        <f t="shared" si="12"/>
        <v>20.859048357079189</v>
      </c>
      <c r="K123" s="17">
        <f t="shared" si="13"/>
        <v>10.178427121847996</v>
      </c>
      <c r="L123" s="17">
        <f t="shared" si="14"/>
        <v>0.51426306777245578</v>
      </c>
      <c r="M123" s="11">
        <f t="shared" si="15"/>
        <v>0.4479847074354093</v>
      </c>
    </row>
    <row r="124" spans="1:13" x14ac:dyDescent="0.2">
      <c r="A124" s="6">
        <v>43483</v>
      </c>
      <c r="B124" s="16">
        <v>17.3003</v>
      </c>
      <c r="C124" s="16">
        <v>11.9115</v>
      </c>
      <c r="D124" s="16">
        <v>12.215299999999999</v>
      </c>
      <c r="E124" s="16">
        <v>13.216200000000001</v>
      </c>
      <c r="F124" s="16">
        <v>12.329700000000001</v>
      </c>
      <c r="G124" s="29">
        <f t="shared" si="9"/>
        <v>15.518737739463592</v>
      </c>
      <c r="H124" s="17">
        <f t="shared" si="10"/>
        <v>18.188893048271389</v>
      </c>
      <c r="I124" s="17">
        <f t="shared" si="11"/>
        <v>12.848582430655794</v>
      </c>
      <c r="J124" s="17">
        <f t="shared" si="12"/>
        <v>20.859048357079189</v>
      </c>
      <c r="K124" s="17">
        <f t="shared" si="13"/>
        <v>10.178427121847996</v>
      </c>
      <c r="L124" s="17">
        <f t="shared" si="14"/>
        <v>0.66721297246633193</v>
      </c>
      <c r="M124" s="11">
        <f t="shared" si="15"/>
        <v>0.45240313982286029</v>
      </c>
    </row>
    <row r="125" spans="1:13" x14ac:dyDescent="0.2">
      <c r="A125" s="6">
        <v>43490</v>
      </c>
      <c r="B125" s="16">
        <v>17.2318</v>
      </c>
      <c r="C125" s="16">
        <v>12.135400000000001</v>
      </c>
      <c r="D125" s="16">
        <v>12.4695</v>
      </c>
      <c r="E125" s="16">
        <v>13.1226</v>
      </c>
      <c r="F125" s="16">
        <v>12.565</v>
      </c>
      <c r="G125" s="29">
        <f t="shared" si="9"/>
        <v>15.518737739463592</v>
      </c>
      <c r="H125" s="17">
        <f t="shared" si="10"/>
        <v>18.188893048271389</v>
      </c>
      <c r="I125" s="17">
        <f t="shared" si="11"/>
        <v>12.848582430655794</v>
      </c>
      <c r="J125" s="17">
        <f t="shared" si="12"/>
        <v>20.859048357079189</v>
      </c>
      <c r="K125" s="17">
        <f t="shared" si="13"/>
        <v>10.178427121847996</v>
      </c>
      <c r="L125" s="17">
        <f t="shared" si="14"/>
        <v>0.64155903399539527</v>
      </c>
      <c r="M125" s="11">
        <f t="shared" si="15"/>
        <v>0.41996143514016837</v>
      </c>
    </row>
    <row r="126" spans="1:13" x14ac:dyDescent="0.2">
      <c r="A126" s="6">
        <v>43497</v>
      </c>
      <c r="B126" s="16">
        <v>17.3095</v>
      </c>
      <c r="C126" s="16">
        <v>12.466799999999999</v>
      </c>
      <c r="D126" s="16">
        <v>12.7134</v>
      </c>
      <c r="E126" s="16">
        <v>13.626799999999999</v>
      </c>
      <c r="F126" s="16">
        <v>12.770799999999999</v>
      </c>
      <c r="G126" s="29">
        <f t="shared" si="9"/>
        <v>15.518737739463592</v>
      </c>
      <c r="H126" s="17">
        <f t="shared" si="10"/>
        <v>18.188893048271389</v>
      </c>
      <c r="I126" s="17">
        <f t="shared" si="11"/>
        <v>12.848582430655794</v>
      </c>
      <c r="J126" s="17">
        <f t="shared" si="12"/>
        <v>20.859048357079189</v>
      </c>
      <c r="K126" s="17">
        <f t="shared" si="13"/>
        <v>10.178427121847996</v>
      </c>
      <c r="L126" s="17">
        <f t="shared" si="14"/>
        <v>0.67065846493250147</v>
      </c>
      <c r="M126" s="11">
        <f t="shared" si="15"/>
        <v>0.38844771713671511</v>
      </c>
    </row>
    <row r="127" spans="1:13" x14ac:dyDescent="0.2">
      <c r="A127" s="6">
        <v>43504</v>
      </c>
      <c r="B127" s="16">
        <v>17.052600000000002</v>
      </c>
      <c r="C127" s="16">
        <v>12.1393</v>
      </c>
      <c r="D127" s="16">
        <v>12.509499999999999</v>
      </c>
      <c r="E127" s="16">
        <v>14.172800000000001</v>
      </c>
      <c r="F127" s="16">
        <v>12.7118</v>
      </c>
      <c r="G127" s="29">
        <f t="shared" si="9"/>
        <v>15.518737739463592</v>
      </c>
      <c r="H127" s="17">
        <f t="shared" si="10"/>
        <v>18.188893048271389</v>
      </c>
      <c r="I127" s="17">
        <f t="shared" si="11"/>
        <v>12.848582430655794</v>
      </c>
      <c r="J127" s="17">
        <f t="shared" si="12"/>
        <v>20.859048357079189</v>
      </c>
      <c r="K127" s="17">
        <f t="shared" si="13"/>
        <v>10.178427121847996</v>
      </c>
      <c r="L127" s="17">
        <f t="shared" si="14"/>
        <v>0.57444683291522314</v>
      </c>
      <c r="M127" s="11">
        <f t="shared" si="15"/>
        <v>0.40474327185257808</v>
      </c>
    </row>
    <row r="128" spans="1:13" x14ac:dyDescent="0.2">
      <c r="A128" s="6">
        <v>43511</v>
      </c>
      <c r="B128" s="16">
        <v>16.467500000000001</v>
      </c>
      <c r="C128" s="16">
        <v>12.017799999999999</v>
      </c>
      <c r="D128" s="16">
        <v>12.425000000000001</v>
      </c>
      <c r="E128" s="16">
        <v>13.8256</v>
      </c>
      <c r="F128" s="16">
        <v>12.662800000000001</v>
      </c>
      <c r="G128" s="29">
        <f t="shared" si="9"/>
        <v>15.518737739463592</v>
      </c>
      <c r="H128" s="17">
        <f t="shared" si="10"/>
        <v>18.188893048271389</v>
      </c>
      <c r="I128" s="17">
        <f t="shared" si="11"/>
        <v>12.848582430655794</v>
      </c>
      <c r="J128" s="17">
        <f t="shared" si="12"/>
        <v>20.859048357079189</v>
      </c>
      <c r="K128" s="17">
        <f t="shared" si="13"/>
        <v>10.178427121847996</v>
      </c>
      <c r="L128" s="17">
        <f t="shared" si="14"/>
        <v>0.35532100226785052</v>
      </c>
      <c r="M128" s="11">
        <f t="shared" si="15"/>
        <v>0.37025911564512648</v>
      </c>
    </row>
    <row r="129" spans="1:13" x14ac:dyDescent="0.2">
      <c r="A129" s="6">
        <v>43518</v>
      </c>
      <c r="B129" s="16">
        <v>16.738299999999999</v>
      </c>
      <c r="C129" s="16">
        <v>12.398300000000001</v>
      </c>
      <c r="D129" s="16">
        <v>12.896100000000001</v>
      </c>
      <c r="E129" s="16">
        <v>13.962</v>
      </c>
      <c r="F129" s="16">
        <v>13.3241</v>
      </c>
      <c r="G129" s="29">
        <f t="shared" si="9"/>
        <v>15.518737739463592</v>
      </c>
      <c r="H129" s="17">
        <f t="shared" si="10"/>
        <v>18.188893048271389</v>
      </c>
      <c r="I129" s="17">
        <f t="shared" si="11"/>
        <v>12.848582430655794</v>
      </c>
      <c r="J129" s="17">
        <f t="shared" si="12"/>
        <v>20.859048357079189</v>
      </c>
      <c r="K129" s="17">
        <f t="shared" si="13"/>
        <v>10.178427121847996</v>
      </c>
      <c r="L129" s="17">
        <f t="shared" si="14"/>
        <v>0.45673832398945013</v>
      </c>
      <c r="M129" s="11">
        <f t="shared" si="15"/>
        <v>0.35004799045030355</v>
      </c>
    </row>
    <row r="130" spans="1:13" x14ac:dyDescent="0.2">
      <c r="A130" s="6">
        <v>43525</v>
      </c>
      <c r="B130" s="16">
        <v>16.7471</v>
      </c>
      <c r="C130" s="16">
        <v>12.52</v>
      </c>
      <c r="D130" s="16">
        <v>13.1671</v>
      </c>
      <c r="E130" s="16">
        <v>14.095000000000001</v>
      </c>
      <c r="F130" s="16">
        <v>13.519600000000001</v>
      </c>
      <c r="G130" s="29">
        <f t="shared" si="9"/>
        <v>15.518737739463592</v>
      </c>
      <c r="H130" s="17">
        <f t="shared" si="10"/>
        <v>18.188893048271389</v>
      </c>
      <c r="I130" s="17">
        <f t="shared" si="11"/>
        <v>12.848582430655794</v>
      </c>
      <c r="J130" s="17">
        <f t="shared" si="12"/>
        <v>20.859048357079189</v>
      </c>
      <c r="K130" s="17">
        <f t="shared" si="13"/>
        <v>10.178427121847996</v>
      </c>
      <c r="L130" s="17">
        <f t="shared" si="14"/>
        <v>0.4600340124353518</v>
      </c>
      <c r="M130" s="11">
        <f t="shared" si="15"/>
        <v>0.33762779552715649</v>
      </c>
    </row>
    <row r="131" spans="1:13" x14ac:dyDescent="0.2">
      <c r="A131" s="6">
        <v>43532</v>
      </c>
      <c r="B131" s="16">
        <v>16.470600000000001</v>
      </c>
      <c r="C131" s="16">
        <v>12.302300000000001</v>
      </c>
      <c r="D131" s="16">
        <v>12.920299999999999</v>
      </c>
      <c r="E131" s="16">
        <v>14.2784</v>
      </c>
      <c r="F131" s="16">
        <v>13.2667</v>
      </c>
      <c r="G131" s="29">
        <f t="shared" si="9"/>
        <v>15.518737739463592</v>
      </c>
      <c r="H131" s="17">
        <f t="shared" si="10"/>
        <v>18.188893048271389</v>
      </c>
      <c r="I131" s="17">
        <f t="shared" si="11"/>
        <v>12.848582430655794</v>
      </c>
      <c r="J131" s="17">
        <f t="shared" si="12"/>
        <v>20.859048357079189</v>
      </c>
      <c r="K131" s="17">
        <f t="shared" si="13"/>
        <v>10.178427121847996</v>
      </c>
      <c r="L131" s="17">
        <f t="shared" si="14"/>
        <v>0.35648198342492937</v>
      </c>
      <c r="M131" s="11">
        <f t="shared" si="15"/>
        <v>0.33882282174877876</v>
      </c>
    </row>
    <row r="132" spans="1:13" x14ac:dyDescent="0.2">
      <c r="A132" s="6">
        <v>43539</v>
      </c>
      <c r="B132" s="16">
        <v>16.796600000000002</v>
      </c>
      <c r="C132" s="16">
        <v>12.8598</v>
      </c>
      <c r="D132" s="16">
        <v>13.567299999999999</v>
      </c>
      <c r="E132" s="16">
        <v>14.6851</v>
      </c>
      <c r="F132" s="16">
        <v>13.4579</v>
      </c>
      <c r="G132" s="29">
        <f t="shared" si="9"/>
        <v>15.518737739463592</v>
      </c>
      <c r="H132" s="17">
        <f t="shared" si="10"/>
        <v>18.188893048271389</v>
      </c>
      <c r="I132" s="17">
        <f t="shared" si="11"/>
        <v>12.848582430655794</v>
      </c>
      <c r="J132" s="17">
        <f t="shared" si="12"/>
        <v>20.859048357079189</v>
      </c>
      <c r="K132" s="17">
        <f t="shared" si="13"/>
        <v>10.178427121847996</v>
      </c>
      <c r="L132" s="17">
        <f t="shared" si="14"/>
        <v>0.47857225994354757</v>
      </c>
      <c r="M132" s="11">
        <f t="shared" si="15"/>
        <v>0.30613228821599114</v>
      </c>
    </row>
    <row r="133" spans="1:13" x14ac:dyDescent="0.2">
      <c r="A133" s="6">
        <v>43546</v>
      </c>
      <c r="B133" s="16">
        <v>17.105899999999998</v>
      </c>
      <c r="C133" s="16">
        <v>12.037800000000001</v>
      </c>
      <c r="D133" s="16">
        <v>13.233599999999999</v>
      </c>
      <c r="E133" s="16">
        <v>14.698</v>
      </c>
      <c r="F133" s="16">
        <v>13.2949</v>
      </c>
      <c r="G133" s="29">
        <f t="shared" si="9"/>
        <v>15.518737739463592</v>
      </c>
      <c r="H133" s="17">
        <f t="shared" si="10"/>
        <v>18.188893048271389</v>
      </c>
      <c r="I133" s="17">
        <f t="shared" si="11"/>
        <v>12.848582430655794</v>
      </c>
      <c r="J133" s="17">
        <f t="shared" si="12"/>
        <v>20.859048357079189</v>
      </c>
      <c r="K133" s="17">
        <f t="shared" si="13"/>
        <v>10.178427121847996</v>
      </c>
      <c r="L133" s="17">
        <f t="shared" si="14"/>
        <v>0.59440821861596527</v>
      </c>
      <c r="M133" s="11">
        <f t="shared" si="15"/>
        <v>0.42101546794264699</v>
      </c>
    </row>
    <row r="134" spans="1:13" x14ac:dyDescent="0.2">
      <c r="A134" s="6">
        <v>43553</v>
      </c>
      <c r="B134" s="16">
        <v>15.4892</v>
      </c>
      <c r="C134" s="16">
        <v>12.1152</v>
      </c>
      <c r="D134" s="16">
        <v>13.304</v>
      </c>
      <c r="E134" s="16">
        <v>14.8996</v>
      </c>
      <c r="F134" s="16">
        <v>11.987399999999999</v>
      </c>
      <c r="G134" s="29">
        <f t="shared" ref="G134:G197" si="17">$R$6</f>
        <v>15.518737739463592</v>
      </c>
      <c r="H134" s="17">
        <f t="shared" ref="H134:H197" si="18">$R$6+$R$7</f>
        <v>18.188893048271389</v>
      </c>
      <c r="I134" s="17">
        <f t="shared" ref="I134:I197" si="19">$R$6-$R$7</f>
        <v>12.848582430655794</v>
      </c>
      <c r="J134" s="17">
        <f t="shared" ref="J134:J197" si="20">$R$6+2*$R$7</f>
        <v>20.859048357079189</v>
      </c>
      <c r="K134" s="17">
        <f t="shared" ref="K134:K197" si="21">$R$6-2*$R$7</f>
        <v>10.178427121847996</v>
      </c>
      <c r="L134" s="17">
        <f t="shared" ref="L134:L197" si="22">(B134-$R$6)/$R$7</f>
        <v>-1.1062180303205063E-2</v>
      </c>
      <c r="M134" s="11">
        <f t="shared" ref="M134:M197" si="23">IF(AND(ISNUMBER(B134),ISNUMBER(C134)),B134/C134-1,"")</f>
        <v>0.27849313259376651</v>
      </c>
    </row>
    <row r="135" spans="1:13" x14ac:dyDescent="0.2">
      <c r="A135" s="6">
        <v>43560</v>
      </c>
      <c r="B135" s="16">
        <v>15.624700000000001</v>
      </c>
      <c r="C135" s="16">
        <v>12.4482</v>
      </c>
      <c r="D135" s="16">
        <v>13.677199999999999</v>
      </c>
      <c r="E135" s="16">
        <v>14.9825</v>
      </c>
      <c r="F135" s="16">
        <v>12.3414</v>
      </c>
      <c r="G135" s="29">
        <f t="shared" si="17"/>
        <v>15.518737739463592</v>
      </c>
      <c r="H135" s="17">
        <f t="shared" si="18"/>
        <v>18.188893048271389</v>
      </c>
      <c r="I135" s="17">
        <f t="shared" si="19"/>
        <v>12.848582430655794</v>
      </c>
      <c r="J135" s="17">
        <f t="shared" si="20"/>
        <v>20.859048357079189</v>
      </c>
      <c r="K135" s="17">
        <f t="shared" si="21"/>
        <v>10.178427121847996</v>
      </c>
      <c r="L135" s="17">
        <f t="shared" si="22"/>
        <v>3.9683931562662395E-2</v>
      </c>
      <c r="M135" s="11">
        <f t="shared" si="23"/>
        <v>0.2551774553750743</v>
      </c>
    </row>
    <row r="136" spans="1:13" x14ac:dyDescent="0.2">
      <c r="A136" s="6">
        <v>43567</v>
      </c>
      <c r="B136" s="16">
        <v>15.4245</v>
      </c>
      <c r="C136" s="16">
        <v>12.473100000000001</v>
      </c>
      <c r="D136" s="16">
        <v>13.7212</v>
      </c>
      <c r="E136" s="16">
        <v>15.242699999999999</v>
      </c>
      <c r="F136" s="16">
        <v>12.377599999999999</v>
      </c>
      <c r="G136" s="29">
        <f t="shared" si="17"/>
        <v>15.518737739463592</v>
      </c>
      <c r="H136" s="17">
        <f t="shared" si="18"/>
        <v>18.188893048271389</v>
      </c>
      <c r="I136" s="17">
        <f t="shared" si="19"/>
        <v>12.848582430655794</v>
      </c>
      <c r="J136" s="17">
        <f t="shared" si="20"/>
        <v>20.859048357079189</v>
      </c>
      <c r="K136" s="17">
        <f t="shared" si="21"/>
        <v>10.178427121847996</v>
      </c>
      <c r="L136" s="17">
        <f t="shared" si="22"/>
        <v>-3.5292980581593442E-2</v>
      </c>
      <c r="M136" s="11">
        <f t="shared" si="23"/>
        <v>0.23662120884142679</v>
      </c>
    </row>
    <row r="137" spans="1:13" x14ac:dyDescent="0.2">
      <c r="A137" s="6">
        <v>43574</v>
      </c>
      <c r="B137" s="16">
        <v>15.785600000000001</v>
      </c>
      <c r="C137" s="16">
        <v>12.526899999999999</v>
      </c>
      <c r="D137" s="16">
        <v>13.741899999999999</v>
      </c>
      <c r="E137" s="16">
        <v>15.3529</v>
      </c>
      <c r="F137" s="16">
        <v>12.377000000000001</v>
      </c>
      <c r="G137" s="29">
        <f t="shared" si="17"/>
        <v>15.518737739463592</v>
      </c>
      <c r="H137" s="17">
        <f t="shared" si="18"/>
        <v>18.188893048271389</v>
      </c>
      <c r="I137" s="17">
        <f t="shared" si="19"/>
        <v>12.848582430655794</v>
      </c>
      <c r="J137" s="17">
        <f t="shared" si="20"/>
        <v>20.859048357079189</v>
      </c>
      <c r="K137" s="17">
        <f t="shared" si="21"/>
        <v>10.178427121847996</v>
      </c>
      <c r="L137" s="17">
        <f t="shared" si="22"/>
        <v>9.9942598715563061E-2</v>
      </c>
      <c r="M137" s="11">
        <f t="shared" si="23"/>
        <v>0.26013618692573592</v>
      </c>
    </row>
    <row r="138" spans="1:13" x14ac:dyDescent="0.2">
      <c r="A138" s="6">
        <v>43581</v>
      </c>
      <c r="B138" s="16">
        <v>15.551500000000001</v>
      </c>
      <c r="C138" s="16">
        <v>12.4918</v>
      </c>
      <c r="D138" s="16">
        <v>13.660399999999999</v>
      </c>
      <c r="E138" s="16">
        <v>19.150500000000001</v>
      </c>
      <c r="F138" s="16">
        <v>12.2066</v>
      </c>
      <c r="G138" s="29">
        <f t="shared" si="17"/>
        <v>15.518737739463592</v>
      </c>
      <c r="H138" s="17">
        <f t="shared" si="18"/>
        <v>18.188893048271389</v>
      </c>
      <c r="I138" s="17">
        <f t="shared" si="19"/>
        <v>12.848582430655794</v>
      </c>
      <c r="J138" s="17">
        <f t="shared" si="20"/>
        <v>20.859048357079189</v>
      </c>
      <c r="K138" s="17">
        <f t="shared" si="21"/>
        <v>10.178427121847996</v>
      </c>
      <c r="L138" s="17">
        <f t="shared" si="22"/>
        <v>1.2269795853573955E-2</v>
      </c>
      <c r="M138" s="11">
        <f t="shared" si="23"/>
        <v>0.24493667846107048</v>
      </c>
    </row>
    <row r="139" spans="1:13" x14ac:dyDescent="0.2">
      <c r="A139" s="6">
        <v>43588</v>
      </c>
      <c r="B139" s="16">
        <v>15.281599999999999</v>
      </c>
      <c r="C139" s="16">
        <v>12.6188</v>
      </c>
      <c r="D139" s="16">
        <v>13.8714</v>
      </c>
      <c r="E139" s="16">
        <v>19</v>
      </c>
      <c r="F139" s="16">
        <v>12.379099999999999</v>
      </c>
      <c r="G139" s="29">
        <f t="shared" si="17"/>
        <v>15.518737739463592</v>
      </c>
      <c r="H139" s="17">
        <f t="shared" si="18"/>
        <v>18.188893048271389</v>
      </c>
      <c r="I139" s="17">
        <f t="shared" si="19"/>
        <v>12.848582430655794</v>
      </c>
      <c r="J139" s="17">
        <f t="shared" si="20"/>
        <v>20.859048357079189</v>
      </c>
      <c r="K139" s="17">
        <f t="shared" si="21"/>
        <v>10.178427121847996</v>
      </c>
      <c r="L139" s="17">
        <f t="shared" si="22"/>
        <v>-8.8810466822423592E-2</v>
      </c>
      <c r="M139" s="11">
        <f t="shared" si="23"/>
        <v>0.21101848036263338</v>
      </c>
    </row>
    <row r="140" spans="1:13" x14ac:dyDescent="0.2">
      <c r="A140" s="6">
        <v>43595</v>
      </c>
      <c r="B140" s="16">
        <v>14.976100000000001</v>
      </c>
      <c r="C140" s="16">
        <v>12.1501</v>
      </c>
      <c r="D140" s="16">
        <v>13.2744</v>
      </c>
      <c r="E140" s="16">
        <v>18.3291</v>
      </c>
      <c r="F140" s="16">
        <v>11.7248</v>
      </c>
      <c r="G140" s="29">
        <f t="shared" si="17"/>
        <v>15.518737739463592</v>
      </c>
      <c r="H140" s="17">
        <f t="shared" si="18"/>
        <v>18.188893048271389</v>
      </c>
      <c r="I140" s="17">
        <f t="shared" si="19"/>
        <v>12.848582430655794</v>
      </c>
      <c r="J140" s="17">
        <f t="shared" si="20"/>
        <v>20.859048357079189</v>
      </c>
      <c r="K140" s="17">
        <f t="shared" si="21"/>
        <v>10.178427121847996</v>
      </c>
      <c r="L140" s="17">
        <f t="shared" si="22"/>
        <v>-0.20322328730229361</v>
      </c>
      <c r="M140" s="11">
        <f t="shared" si="23"/>
        <v>0.23259067826602253</v>
      </c>
    </row>
    <row r="141" spans="1:13" x14ac:dyDescent="0.2">
      <c r="A141" s="6">
        <v>43602</v>
      </c>
      <c r="B141" s="16">
        <v>14.083</v>
      </c>
      <c r="C141" s="16">
        <v>11.8504</v>
      </c>
      <c r="D141" s="16">
        <v>12.9823</v>
      </c>
      <c r="E141" s="16">
        <v>18.537400000000002</v>
      </c>
      <c r="F141" s="16">
        <v>11.4139</v>
      </c>
      <c r="G141" s="29">
        <f t="shared" si="17"/>
        <v>15.518737739463592</v>
      </c>
      <c r="H141" s="17">
        <f t="shared" si="18"/>
        <v>18.188893048271389</v>
      </c>
      <c r="I141" s="17">
        <f t="shared" si="19"/>
        <v>12.848582430655794</v>
      </c>
      <c r="J141" s="17">
        <f t="shared" si="20"/>
        <v>20.859048357079189</v>
      </c>
      <c r="K141" s="17">
        <f t="shared" si="21"/>
        <v>10.178427121847996</v>
      </c>
      <c r="L141" s="17">
        <f t="shared" si="22"/>
        <v>-0.53769821355621328</v>
      </c>
      <c r="M141" s="11">
        <f t="shared" si="23"/>
        <v>0.18839870384122048</v>
      </c>
    </row>
    <row r="142" spans="1:13" x14ac:dyDescent="0.2">
      <c r="A142" s="6">
        <v>43609</v>
      </c>
      <c r="B142" s="16">
        <v>14.9236</v>
      </c>
      <c r="C142" s="16">
        <v>11.7652</v>
      </c>
      <c r="D142" s="16">
        <v>12.8726</v>
      </c>
      <c r="E142" s="16">
        <v>19.241900000000001</v>
      </c>
      <c r="F142" s="16">
        <v>10.947900000000001</v>
      </c>
      <c r="G142" s="29">
        <f t="shared" si="17"/>
        <v>15.518737739463592</v>
      </c>
      <c r="H142" s="17">
        <f t="shared" si="18"/>
        <v>18.188893048271389</v>
      </c>
      <c r="I142" s="17">
        <f t="shared" si="19"/>
        <v>12.848582430655794</v>
      </c>
      <c r="J142" s="17">
        <f t="shared" si="20"/>
        <v>20.859048357079189</v>
      </c>
      <c r="K142" s="17">
        <f t="shared" si="21"/>
        <v>10.178427121847996</v>
      </c>
      <c r="L142" s="17">
        <f t="shared" si="22"/>
        <v>-0.2228850649625006</v>
      </c>
      <c r="M142" s="11">
        <f t="shared" si="23"/>
        <v>0.26845272498555062</v>
      </c>
    </row>
    <row r="143" spans="1:13" x14ac:dyDescent="0.2">
      <c r="A143" s="6">
        <v>43616</v>
      </c>
      <c r="B143" s="16">
        <v>15.616899999999999</v>
      </c>
      <c r="C143" s="16">
        <v>12.180899999999999</v>
      </c>
      <c r="D143" s="16">
        <v>13.0693</v>
      </c>
      <c r="E143" s="16">
        <v>19.5335</v>
      </c>
      <c r="F143" s="16">
        <v>11.2204</v>
      </c>
      <c r="G143" s="29">
        <f t="shared" si="17"/>
        <v>15.518737739463592</v>
      </c>
      <c r="H143" s="17">
        <f t="shared" si="18"/>
        <v>18.188893048271389</v>
      </c>
      <c r="I143" s="17">
        <f t="shared" si="19"/>
        <v>12.848582430655794</v>
      </c>
      <c r="J143" s="17">
        <f t="shared" si="20"/>
        <v>20.859048357079189</v>
      </c>
      <c r="K143" s="17">
        <f t="shared" si="21"/>
        <v>10.178427121847996</v>
      </c>
      <c r="L143" s="17">
        <f t="shared" si="22"/>
        <v>3.6762753167431148E-2</v>
      </c>
      <c r="M143" s="11">
        <f t="shared" si="23"/>
        <v>0.28208096281883943</v>
      </c>
    </row>
    <row r="144" spans="1:13" x14ac:dyDescent="0.2">
      <c r="A144" s="6">
        <v>43623</v>
      </c>
      <c r="B144" s="16">
        <v>15.621600000000001</v>
      </c>
      <c r="C144" s="16">
        <v>12.2721</v>
      </c>
      <c r="D144" s="16">
        <v>13.183199999999999</v>
      </c>
      <c r="E144" s="16">
        <v>19.734200000000001</v>
      </c>
      <c r="F144" s="16">
        <v>11.275600000000001</v>
      </c>
      <c r="G144" s="29">
        <f t="shared" si="17"/>
        <v>15.518737739463592</v>
      </c>
      <c r="H144" s="17">
        <f t="shared" si="18"/>
        <v>18.188893048271389</v>
      </c>
      <c r="I144" s="17">
        <f t="shared" si="19"/>
        <v>12.848582430655794</v>
      </c>
      <c r="J144" s="17">
        <f t="shared" si="20"/>
        <v>20.859048357079189</v>
      </c>
      <c r="K144" s="17">
        <f t="shared" si="21"/>
        <v>10.178427121847996</v>
      </c>
      <c r="L144" s="17">
        <f t="shared" si="22"/>
        <v>3.8522950405583553E-2</v>
      </c>
      <c r="M144" s="11">
        <f t="shared" si="23"/>
        <v>0.27293617229325062</v>
      </c>
    </row>
    <row r="145" spans="1:13" x14ac:dyDescent="0.2">
      <c r="A145" s="6">
        <v>43630</v>
      </c>
      <c r="B145" s="16">
        <v>15.7325</v>
      </c>
      <c r="C145" s="16">
        <v>12.399699999999999</v>
      </c>
      <c r="D145" s="16">
        <v>13.331</v>
      </c>
      <c r="E145" s="16">
        <v>19.647500000000001</v>
      </c>
      <c r="F145" s="16">
        <v>11.4679</v>
      </c>
      <c r="G145" s="29">
        <f t="shared" si="17"/>
        <v>15.518737739463592</v>
      </c>
      <c r="H145" s="17">
        <f t="shared" si="18"/>
        <v>18.188893048271389</v>
      </c>
      <c r="I145" s="17">
        <f t="shared" si="19"/>
        <v>12.848582430655794</v>
      </c>
      <c r="J145" s="17">
        <f t="shared" si="20"/>
        <v>20.859048357079189</v>
      </c>
      <c r="K145" s="17">
        <f t="shared" si="21"/>
        <v>10.178427121847996</v>
      </c>
      <c r="L145" s="17">
        <f t="shared" si="22"/>
        <v>8.0056115024953592E-2</v>
      </c>
      <c r="M145" s="11">
        <f t="shared" si="23"/>
        <v>0.26878069630716883</v>
      </c>
    </row>
    <row r="146" spans="1:13" x14ac:dyDescent="0.2">
      <c r="A146" s="6">
        <v>43637</v>
      </c>
      <c r="B146" s="16">
        <v>16.004100000000001</v>
      </c>
      <c r="C146" s="16">
        <v>12.8416</v>
      </c>
      <c r="D146" s="16">
        <v>13.844799999999999</v>
      </c>
      <c r="E146" s="16">
        <v>19.480699999999999</v>
      </c>
      <c r="F146" s="16">
        <v>12.016999999999999</v>
      </c>
      <c r="G146" s="29">
        <f t="shared" si="17"/>
        <v>15.518737739463592</v>
      </c>
      <c r="H146" s="17">
        <f t="shared" si="18"/>
        <v>18.188893048271389</v>
      </c>
      <c r="I146" s="17">
        <f t="shared" si="19"/>
        <v>12.848582430655794</v>
      </c>
      <c r="J146" s="17">
        <f t="shared" si="20"/>
        <v>20.859048357079189</v>
      </c>
      <c r="K146" s="17">
        <f t="shared" si="21"/>
        <v>10.178427121847996</v>
      </c>
      <c r="L146" s="17">
        <f t="shared" si="22"/>
        <v>0.181773044787091</v>
      </c>
      <c r="M146" s="11">
        <f t="shared" si="23"/>
        <v>0.24626993521056573</v>
      </c>
    </row>
    <row r="147" spans="1:13" x14ac:dyDescent="0.2">
      <c r="A147" s="6">
        <v>43644</v>
      </c>
      <c r="B147" s="16">
        <v>16.1797</v>
      </c>
      <c r="C147" s="16">
        <v>12.824999999999999</v>
      </c>
      <c r="D147" s="16">
        <v>13.885400000000001</v>
      </c>
      <c r="E147" s="16">
        <v>19.657599999999999</v>
      </c>
      <c r="F147" s="16">
        <v>12.0542</v>
      </c>
      <c r="G147" s="29">
        <f t="shared" si="17"/>
        <v>15.518737739463592</v>
      </c>
      <c r="H147" s="17">
        <f t="shared" si="18"/>
        <v>18.188893048271389</v>
      </c>
      <c r="I147" s="17">
        <f t="shared" si="19"/>
        <v>12.848582430655794</v>
      </c>
      <c r="J147" s="17">
        <f t="shared" si="20"/>
        <v>20.859048357079189</v>
      </c>
      <c r="K147" s="17">
        <f t="shared" si="21"/>
        <v>10.178427121847996</v>
      </c>
      <c r="L147" s="17">
        <f t="shared" si="22"/>
        <v>0.24753700968484943</v>
      </c>
      <c r="M147" s="11">
        <f t="shared" si="23"/>
        <v>0.26157504873294357</v>
      </c>
    </row>
    <row r="148" spans="1:13" x14ac:dyDescent="0.2">
      <c r="A148" s="6">
        <v>43651</v>
      </c>
      <c r="B148" s="16">
        <v>16.262899999999998</v>
      </c>
      <c r="C148" s="16">
        <v>12.929</v>
      </c>
      <c r="D148" s="16">
        <v>14.0152</v>
      </c>
      <c r="E148" s="16">
        <v>19.640499999999999</v>
      </c>
      <c r="F148" s="16">
        <v>12.188599999999999</v>
      </c>
      <c r="G148" s="29">
        <f t="shared" si="17"/>
        <v>15.518737739463592</v>
      </c>
      <c r="H148" s="17">
        <f t="shared" si="18"/>
        <v>18.188893048271389</v>
      </c>
      <c r="I148" s="17">
        <f t="shared" si="19"/>
        <v>12.848582430655794</v>
      </c>
      <c r="J148" s="17">
        <f t="shared" si="20"/>
        <v>20.859048357079189</v>
      </c>
      <c r="K148" s="17">
        <f t="shared" si="21"/>
        <v>10.178427121847996</v>
      </c>
      <c r="L148" s="17">
        <f t="shared" si="22"/>
        <v>0.27869624590064318</v>
      </c>
      <c r="M148" s="11">
        <f t="shared" si="23"/>
        <v>0.25786217031479608</v>
      </c>
    </row>
    <row r="149" spans="1:13" x14ac:dyDescent="0.2">
      <c r="A149" s="6">
        <v>43658</v>
      </c>
      <c r="B149" s="16">
        <v>16.290400000000002</v>
      </c>
      <c r="C149" s="16">
        <v>12.7934</v>
      </c>
      <c r="D149" s="16">
        <v>13.8962</v>
      </c>
      <c r="E149" s="16">
        <v>19.392399999999999</v>
      </c>
      <c r="F149" s="16">
        <v>11.996700000000001</v>
      </c>
      <c r="G149" s="29">
        <f t="shared" si="17"/>
        <v>15.518737739463592</v>
      </c>
      <c r="H149" s="17">
        <f t="shared" si="18"/>
        <v>18.188893048271389</v>
      </c>
      <c r="I149" s="17">
        <f t="shared" si="19"/>
        <v>12.848582430655794</v>
      </c>
      <c r="J149" s="17">
        <f t="shared" si="20"/>
        <v>20.859048357079189</v>
      </c>
      <c r="K149" s="17">
        <f t="shared" si="21"/>
        <v>10.178427121847996</v>
      </c>
      <c r="L149" s="17">
        <f t="shared" si="22"/>
        <v>0.28899527229408617</v>
      </c>
      <c r="M149" s="11">
        <f t="shared" si="23"/>
        <v>0.27334406803508071</v>
      </c>
    </row>
    <row r="150" spans="1:13" x14ac:dyDescent="0.2">
      <c r="A150" s="6">
        <v>43665</v>
      </c>
      <c r="B150" s="16">
        <v>16.4742</v>
      </c>
      <c r="C150" s="16">
        <v>12.922599999999999</v>
      </c>
      <c r="D150" s="16">
        <v>14.0731</v>
      </c>
      <c r="E150" s="16">
        <v>19.284500000000001</v>
      </c>
      <c r="F150" s="16">
        <v>12.1853</v>
      </c>
      <c r="G150" s="29">
        <f t="shared" si="17"/>
        <v>15.518737739463592</v>
      </c>
      <c r="H150" s="17">
        <f t="shared" si="18"/>
        <v>18.188893048271389</v>
      </c>
      <c r="I150" s="17">
        <f t="shared" si="19"/>
        <v>12.848582430655794</v>
      </c>
      <c r="J150" s="17">
        <f t="shared" si="20"/>
        <v>20.859048357079189</v>
      </c>
      <c r="K150" s="17">
        <f t="shared" si="21"/>
        <v>10.178427121847996</v>
      </c>
      <c r="L150" s="17">
        <f t="shared" si="22"/>
        <v>0.35783021960734307</v>
      </c>
      <c r="M150" s="11">
        <f t="shared" si="23"/>
        <v>0.27483633324563184</v>
      </c>
    </row>
    <row r="151" spans="1:13" x14ac:dyDescent="0.2">
      <c r="A151" s="6">
        <v>43672</v>
      </c>
      <c r="B151" s="16">
        <v>16.119199999999999</v>
      </c>
      <c r="C151" s="16">
        <v>12.8698</v>
      </c>
      <c r="D151" s="16">
        <v>14.0175</v>
      </c>
      <c r="E151" s="16">
        <v>19.316800000000001</v>
      </c>
      <c r="F151" s="16">
        <v>12.269600000000001</v>
      </c>
      <c r="G151" s="29">
        <f t="shared" si="17"/>
        <v>15.518737739463592</v>
      </c>
      <c r="H151" s="17">
        <f t="shared" si="18"/>
        <v>18.188893048271389</v>
      </c>
      <c r="I151" s="17">
        <f t="shared" si="19"/>
        <v>12.848582430655794</v>
      </c>
      <c r="J151" s="17">
        <f t="shared" si="20"/>
        <v>20.859048357079189</v>
      </c>
      <c r="K151" s="17">
        <f t="shared" si="21"/>
        <v>10.178427121847996</v>
      </c>
      <c r="L151" s="17">
        <f t="shared" si="22"/>
        <v>0.22487915161927724</v>
      </c>
      <c r="M151" s="11">
        <f t="shared" si="23"/>
        <v>0.25248255606147718</v>
      </c>
    </row>
    <row r="152" spans="1:13" x14ac:dyDescent="0.2">
      <c r="A152" s="6">
        <v>43679</v>
      </c>
      <c r="B152" s="16">
        <v>16.235299999999999</v>
      </c>
      <c r="C152" s="16">
        <v>12.474</v>
      </c>
      <c r="D152" s="16">
        <v>13.4756</v>
      </c>
      <c r="E152" s="16">
        <v>18.898099999999999</v>
      </c>
      <c r="F152" s="16">
        <v>11.6432</v>
      </c>
      <c r="G152" s="29">
        <f t="shared" si="17"/>
        <v>15.518737739463592</v>
      </c>
      <c r="H152" s="17">
        <f t="shared" si="18"/>
        <v>18.188893048271389</v>
      </c>
      <c r="I152" s="17">
        <f t="shared" si="19"/>
        <v>12.848582430655794</v>
      </c>
      <c r="J152" s="17">
        <f t="shared" si="20"/>
        <v>20.859048357079189</v>
      </c>
      <c r="K152" s="17">
        <f t="shared" si="21"/>
        <v>10.178427121847996</v>
      </c>
      <c r="L152" s="17">
        <f t="shared" si="22"/>
        <v>0.26835976850213455</v>
      </c>
      <c r="M152" s="11">
        <f t="shared" si="23"/>
        <v>0.30153118486451813</v>
      </c>
    </row>
    <row r="153" spans="1:13" x14ac:dyDescent="0.2">
      <c r="A153" s="6">
        <v>43686</v>
      </c>
      <c r="B153" s="16">
        <v>16.164000000000001</v>
      </c>
      <c r="C153" s="16">
        <v>12.377700000000001</v>
      </c>
      <c r="D153" s="16">
        <v>13.2934</v>
      </c>
      <c r="E153" s="16">
        <v>19.290500000000002</v>
      </c>
      <c r="F153" s="16">
        <v>11.4452</v>
      </c>
      <c r="G153" s="29">
        <f t="shared" si="17"/>
        <v>15.518737739463592</v>
      </c>
      <c r="H153" s="17">
        <f t="shared" si="18"/>
        <v>18.188893048271389</v>
      </c>
      <c r="I153" s="17">
        <f t="shared" si="19"/>
        <v>12.848582430655794</v>
      </c>
      <c r="J153" s="17">
        <f t="shared" si="20"/>
        <v>20.859048357079189</v>
      </c>
      <c r="K153" s="17">
        <f t="shared" si="21"/>
        <v>10.178427121847996</v>
      </c>
      <c r="L153" s="17">
        <f t="shared" si="22"/>
        <v>0.24165720188932127</v>
      </c>
      <c r="M153" s="11">
        <f t="shared" si="23"/>
        <v>0.30589689522286045</v>
      </c>
    </row>
    <row r="154" spans="1:13" x14ac:dyDescent="0.2">
      <c r="A154" s="6">
        <v>43693</v>
      </c>
      <c r="B154" s="16">
        <v>16.046600000000002</v>
      </c>
      <c r="C154" s="16">
        <v>12.288399999999999</v>
      </c>
      <c r="D154" s="16">
        <v>13.311</v>
      </c>
      <c r="E154" s="16">
        <v>19.268799999999999</v>
      </c>
      <c r="F154" s="16">
        <v>11.576000000000001</v>
      </c>
      <c r="G154" s="29">
        <f t="shared" si="17"/>
        <v>15.518737739463592</v>
      </c>
      <c r="H154" s="17">
        <f t="shared" si="18"/>
        <v>18.188893048271389</v>
      </c>
      <c r="I154" s="17">
        <f t="shared" si="19"/>
        <v>12.848582430655794</v>
      </c>
      <c r="J154" s="17">
        <f t="shared" si="20"/>
        <v>20.859048357079189</v>
      </c>
      <c r="K154" s="17">
        <f t="shared" si="21"/>
        <v>10.178427121847996</v>
      </c>
      <c r="L154" s="17">
        <f t="shared" si="22"/>
        <v>0.19768972194059198</v>
      </c>
      <c r="M154" s="11">
        <f t="shared" si="23"/>
        <v>0.30583314345236179</v>
      </c>
    </row>
    <row r="155" spans="1:13" x14ac:dyDescent="0.2">
      <c r="A155" s="6">
        <v>43700</v>
      </c>
      <c r="B155" s="16">
        <v>16.0642</v>
      </c>
      <c r="C155" s="16">
        <v>12.3758</v>
      </c>
      <c r="D155" s="16">
        <v>13.426299999999999</v>
      </c>
      <c r="E155" s="16">
        <v>19.050599999999999</v>
      </c>
      <c r="F155" s="16">
        <v>11.7118</v>
      </c>
      <c r="G155" s="29">
        <f t="shared" si="17"/>
        <v>15.518737739463592</v>
      </c>
      <c r="H155" s="17">
        <f t="shared" si="18"/>
        <v>18.188893048271389</v>
      </c>
      <c r="I155" s="17">
        <f t="shared" si="19"/>
        <v>12.848582430655794</v>
      </c>
      <c r="J155" s="17">
        <f t="shared" si="20"/>
        <v>20.859048357079189</v>
      </c>
      <c r="K155" s="17">
        <f t="shared" si="21"/>
        <v>10.178427121847996</v>
      </c>
      <c r="L155" s="17">
        <f t="shared" si="22"/>
        <v>0.20428109883239395</v>
      </c>
      <c r="M155" s="11">
        <f t="shared" si="23"/>
        <v>0.29803325845601902</v>
      </c>
    </row>
    <row r="156" spans="1:13" x14ac:dyDescent="0.2">
      <c r="A156" s="6">
        <v>43707</v>
      </c>
      <c r="B156" s="16">
        <v>16.479900000000001</v>
      </c>
      <c r="C156" s="16">
        <v>12.7056</v>
      </c>
      <c r="D156" s="16">
        <v>13.627599999999999</v>
      </c>
      <c r="E156" s="16">
        <v>19.699100000000001</v>
      </c>
      <c r="F156" s="16">
        <v>11.9465</v>
      </c>
      <c r="G156" s="29">
        <f t="shared" si="17"/>
        <v>15.518737739463592</v>
      </c>
      <c r="H156" s="17">
        <f t="shared" si="18"/>
        <v>18.188893048271389</v>
      </c>
      <c r="I156" s="17">
        <f t="shared" si="19"/>
        <v>12.848582430655794</v>
      </c>
      <c r="J156" s="17">
        <f t="shared" si="20"/>
        <v>20.859048357079189</v>
      </c>
      <c r="K156" s="17">
        <f t="shared" si="21"/>
        <v>10.178427121847996</v>
      </c>
      <c r="L156" s="17">
        <f t="shared" si="22"/>
        <v>0.35996492689616588</v>
      </c>
      <c r="M156" s="11">
        <f t="shared" si="23"/>
        <v>0.29705799017755941</v>
      </c>
    </row>
    <row r="157" spans="1:13" x14ac:dyDescent="0.2">
      <c r="A157" s="6">
        <v>43714</v>
      </c>
      <c r="B157" s="16">
        <v>16.365400000000001</v>
      </c>
      <c r="C157" s="16">
        <v>12.983499999999999</v>
      </c>
      <c r="D157" s="16">
        <v>13.901300000000001</v>
      </c>
      <c r="E157" s="16">
        <v>19.544699999999999</v>
      </c>
      <c r="F157" s="16">
        <v>12.313499999999999</v>
      </c>
      <c r="G157" s="29">
        <f t="shared" si="17"/>
        <v>15.518737739463592</v>
      </c>
      <c r="H157" s="17">
        <f t="shared" si="18"/>
        <v>18.188893048271389</v>
      </c>
      <c r="I157" s="17">
        <f t="shared" si="19"/>
        <v>12.848582430655794</v>
      </c>
      <c r="J157" s="17">
        <f t="shared" si="20"/>
        <v>20.859048357079189</v>
      </c>
      <c r="K157" s="17">
        <f t="shared" si="21"/>
        <v>10.178427121847996</v>
      </c>
      <c r="L157" s="17">
        <f t="shared" si="22"/>
        <v>0.31708352609438145</v>
      </c>
      <c r="M157" s="11">
        <f t="shared" si="23"/>
        <v>0.26047675896329969</v>
      </c>
    </row>
    <row r="158" spans="1:13" x14ac:dyDescent="0.2">
      <c r="A158" s="6">
        <v>43721</v>
      </c>
      <c r="B158" s="16">
        <v>16.422999999999998</v>
      </c>
      <c r="C158" s="16">
        <v>13.1004</v>
      </c>
      <c r="D158" s="16">
        <v>14.1473</v>
      </c>
      <c r="E158" s="16">
        <v>19.755600000000001</v>
      </c>
      <c r="F158" s="16">
        <v>12.515499999999999</v>
      </c>
      <c r="G158" s="29">
        <f t="shared" si="17"/>
        <v>15.518737739463592</v>
      </c>
      <c r="H158" s="17">
        <f t="shared" si="18"/>
        <v>18.188893048271389</v>
      </c>
      <c r="I158" s="17">
        <f t="shared" si="19"/>
        <v>12.848582430655794</v>
      </c>
      <c r="J158" s="17">
        <f t="shared" si="20"/>
        <v>20.859048357079189</v>
      </c>
      <c r="K158" s="17">
        <f t="shared" si="21"/>
        <v>10.178427121847996</v>
      </c>
      <c r="L158" s="17">
        <f t="shared" si="22"/>
        <v>0.33865530501300739</v>
      </c>
      <c r="M158" s="11">
        <f t="shared" si="23"/>
        <v>0.25362584348569484</v>
      </c>
    </row>
    <row r="159" spans="1:13" x14ac:dyDescent="0.2">
      <c r="A159" s="6">
        <v>43728</v>
      </c>
      <c r="B159" s="16">
        <v>16.211600000000001</v>
      </c>
      <c r="C159" s="16">
        <v>12.989100000000001</v>
      </c>
      <c r="D159" s="16">
        <v>13.974600000000001</v>
      </c>
      <c r="E159" s="16">
        <v>19.9224</v>
      </c>
      <c r="F159" s="16">
        <v>12.276300000000001</v>
      </c>
      <c r="G159" s="29">
        <f t="shared" si="17"/>
        <v>15.518737739463592</v>
      </c>
      <c r="H159" s="17">
        <f t="shared" si="18"/>
        <v>18.188893048271389</v>
      </c>
      <c r="I159" s="17">
        <f t="shared" si="19"/>
        <v>12.848582430655794</v>
      </c>
      <c r="J159" s="17">
        <f t="shared" si="20"/>
        <v>20.859048357079189</v>
      </c>
      <c r="K159" s="17">
        <f t="shared" si="21"/>
        <v>10.178427121847996</v>
      </c>
      <c r="L159" s="17">
        <f t="shared" si="22"/>
        <v>0.25948388030124192</v>
      </c>
      <c r="M159" s="11">
        <f t="shared" si="23"/>
        <v>0.24809263151411565</v>
      </c>
    </row>
    <row r="160" spans="1:13" x14ac:dyDescent="0.2">
      <c r="A160" s="6">
        <v>43735</v>
      </c>
      <c r="B160" s="16">
        <v>16.155999999999999</v>
      </c>
      <c r="C160" s="16">
        <v>12.7707</v>
      </c>
      <c r="D160" s="16">
        <v>13.7013</v>
      </c>
      <c r="E160" s="16">
        <v>20.040199999999999</v>
      </c>
      <c r="F160" s="16">
        <v>11.8132</v>
      </c>
      <c r="G160" s="29">
        <f t="shared" si="17"/>
        <v>15.518737739463592</v>
      </c>
      <c r="H160" s="17">
        <f t="shared" si="18"/>
        <v>18.188893048271389</v>
      </c>
      <c r="I160" s="17">
        <f t="shared" si="19"/>
        <v>12.848582430655794</v>
      </c>
      <c r="J160" s="17">
        <f t="shared" si="20"/>
        <v>20.859048357079189</v>
      </c>
      <c r="K160" s="17">
        <f t="shared" si="21"/>
        <v>10.178427121847996</v>
      </c>
      <c r="L160" s="17">
        <f t="shared" si="22"/>
        <v>0.23866112148395541</v>
      </c>
      <c r="M160" s="11">
        <f t="shared" si="23"/>
        <v>0.26508335486700019</v>
      </c>
    </row>
    <row r="161" spans="1:13" x14ac:dyDescent="0.2">
      <c r="A161" s="6">
        <v>43742</v>
      </c>
      <c r="B161" s="16">
        <v>15.744</v>
      </c>
      <c r="C161" s="16">
        <v>12.775</v>
      </c>
      <c r="D161" s="16">
        <v>13.7044</v>
      </c>
      <c r="E161" s="16">
        <v>19.735199999999999</v>
      </c>
      <c r="F161" s="16">
        <v>11.9183</v>
      </c>
      <c r="G161" s="29">
        <f t="shared" si="17"/>
        <v>15.518737739463592</v>
      </c>
      <c r="H161" s="17">
        <f t="shared" si="18"/>
        <v>18.188893048271389</v>
      </c>
      <c r="I161" s="17">
        <f t="shared" si="19"/>
        <v>12.848582430655794</v>
      </c>
      <c r="J161" s="17">
        <f t="shared" si="20"/>
        <v>20.859048357079189</v>
      </c>
      <c r="K161" s="17">
        <f t="shared" si="21"/>
        <v>10.178427121847996</v>
      </c>
      <c r="L161" s="17">
        <f t="shared" si="22"/>
        <v>8.4362980607665519E-2</v>
      </c>
      <c r="M161" s="11">
        <f t="shared" si="23"/>
        <v>0.2324070450097846</v>
      </c>
    </row>
    <row r="162" spans="1:13" x14ac:dyDescent="0.2">
      <c r="A162" s="6">
        <v>43749</v>
      </c>
      <c r="B162" s="16">
        <v>15.8414</v>
      </c>
      <c r="C162" s="16">
        <v>12.952500000000001</v>
      </c>
      <c r="D162" s="16">
        <v>13.9108</v>
      </c>
      <c r="E162" s="16">
        <v>20.073699999999999</v>
      </c>
      <c r="F162" s="16">
        <v>12.1585</v>
      </c>
      <c r="G162" s="29">
        <f t="shared" si="17"/>
        <v>15.518737739463592</v>
      </c>
      <c r="H162" s="17">
        <f t="shared" si="18"/>
        <v>18.188893048271389</v>
      </c>
      <c r="I162" s="17">
        <f t="shared" si="19"/>
        <v>12.848582430655794</v>
      </c>
      <c r="J162" s="17">
        <f t="shared" si="20"/>
        <v>20.859048357079189</v>
      </c>
      <c r="K162" s="17">
        <f t="shared" si="21"/>
        <v>10.178427121847996</v>
      </c>
      <c r="L162" s="17">
        <f t="shared" si="22"/>
        <v>0.12084025954298282</v>
      </c>
      <c r="M162" s="11">
        <f t="shared" si="23"/>
        <v>0.22303802354757774</v>
      </c>
    </row>
    <row r="163" spans="1:13" x14ac:dyDescent="0.2">
      <c r="A163" s="6">
        <v>43756</v>
      </c>
      <c r="B163" s="16">
        <v>16.419699999999999</v>
      </c>
      <c r="C163" s="16">
        <v>13.1006</v>
      </c>
      <c r="D163" s="16">
        <v>14.113200000000001</v>
      </c>
      <c r="E163" s="16">
        <v>20.754200000000001</v>
      </c>
      <c r="F163" s="16">
        <v>12.164</v>
      </c>
      <c r="G163" s="29">
        <f t="shared" si="17"/>
        <v>15.518737739463592</v>
      </c>
      <c r="H163" s="17">
        <f t="shared" si="18"/>
        <v>18.188893048271389</v>
      </c>
      <c r="I163" s="17">
        <f t="shared" si="19"/>
        <v>12.848582430655794</v>
      </c>
      <c r="J163" s="17">
        <f t="shared" si="20"/>
        <v>20.859048357079189</v>
      </c>
      <c r="K163" s="17">
        <f t="shared" si="21"/>
        <v>10.178427121847996</v>
      </c>
      <c r="L163" s="17">
        <f t="shared" si="22"/>
        <v>0.3374194218457946</v>
      </c>
      <c r="M163" s="11">
        <f t="shared" si="23"/>
        <v>0.25335480817672473</v>
      </c>
    </row>
    <row r="164" spans="1:13" x14ac:dyDescent="0.2">
      <c r="A164" s="6">
        <v>43763</v>
      </c>
      <c r="B164" s="16">
        <v>16.760200000000001</v>
      </c>
      <c r="C164" s="16">
        <v>13.1937</v>
      </c>
      <c r="D164" s="16">
        <v>14.1608</v>
      </c>
      <c r="E164" s="16">
        <v>20.441199999999998</v>
      </c>
      <c r="F164" s="16">
        <v>12.154299999999999</v>
      </c>
      <c r="G164" s="29">
        <f t="shared" si="17"/>
        <v>15.518737739463592</v>
      </c>
      <c r="H164" s="17">
        <f t="shared" si="18"/>
        <v>18.188893048271389</v>
      </c>
      <c r="I164" s="17">
        <f t="shared" si="19"/>
        <v>12.848582430655794</v>
      </c>
      <c r="J164" s="17">
        <f t="shared" si="20"/>
        <v>20.859048357079189</v>
      </c>
      <c r="K164" s="17">
        <f t="shared" si="21"/>
        <v>10.178427121847996</v>
      </c>
      <c r="L164" s="17">
        <f t="shared" si="22"/>
        <v>0.46494009409913728</v>
      </c>
      <c r="M164" s="11">
        <f t="shared" si="23"/>
        <v>0.27031840954394903</v>
      </c>
    </row>
    <row r="165" spans="1:13" x14ac:dyDescent="0.2">
      <c r="A165" s="6">
        <v>43770</v>
      </c>
      <c r="B165" s="16">
        <v>16.590199999999999</v>
      </c>
      <c r="C165" s="16">
        <v>13.3447</v>
      </c>
      <c r="D165" s="16">
        <v>14.380599999999999</v>
      </c>
      <c r="E165" s="16">
        <v>21.190999999999999</v>
      </c>
      <c r="F165" s="16">
        <v>12.278499999999999</v>
      </c>
      <c r="G165" s="29">
        <f t="shared" si="17"/>
        <v>15.518737739463592</v>
      </c>
      <c r="H165" s="17">
        <f t="shared" si="18"/>
        <v>18.188893048271389</v>
      </c>
      <c r="I165" s="17">
        <f t="shared" si="19"/>
        <v>12.848582430655794</v>
      </c>
      <c r="J165" s="17">
        <f t="shared" si="20"/>
        <v>20.859048357079189</v>
      </c>
      <c r="K165" s="17">
        <f t="shared" si="21"/>
        <v>10.178427121847996</v>
      </c>
      <c r="L165" s="17">
        <f t="shared" si="22"/>
        <v>0.40127338548513342</v>
      </c>
      <c r="M165" s="11">
        <f t="shared" si="23"/>
        <v>0.24320516759462563</v>
      </c>
    </row>
    <row r="166" spans="1:13" x14ac:dyDescent="0.2">
      <c r="A166" s="6">
        <v>43777</v>
      </c>
      <c r="B166" s="16">
        <v>16.579499999999999</v>
      </c>
      <c r="C166" s="16">
        <v>13.555300000000001</v>
      </c>
      <c r="D166" s="16">
        <v>14.661899999999999</v>
      </c>
      <c r="E166" s="16">
        <v>21.160399999999999</v>
      </c>
      <c r="F166" s="16">
        <v>12.5771</v>
      </c>
      <c r="G166" s="29">
        <f t="shared" si="17"/>
        <v>15.518737739463592</v>
      </c>
      <c r="H166" s="17">
        <f t="shared" si="18"/>
        <v>18.188893048271389</v>
      </c>
      <c r="I166" s="17">
        <f t="shared" si="19"/>
        <v>12.848582430655794</v>
      </c>
      <c r="J166" s="17">
        <f t="shared" si="20"/>
        <v>20.859048357079189</v>
      </c>
      <c r="K166" s="17">
        <f t="shared" si="21"/>
        <v>10.178427121847996</v>
      </c>
      <c r="L166" s="17">
        <f t="shared" si="22"/>
        <v>0.3972661279429579</v>
      </c>
      <c r="M166" s="11">
        <f t="shared" si="23"/>
        <v>0.22310092731256392</v>
      </c>
    </row>
    <row r="167" spans="1:13" x14ac:dyDescent="0.2">
      <c r="A167" s="6">
        <v>43784</v>
      </c>
      <c r="B167" s="16">
        <v>16.509499999999999</v>
      </c>
      <c r="C167" s="16">
        <v>13.4315</v>
      </c>
      <c r="D167" s="16">
        <v>14.3681</v>
      </c>
      <c r="E167" s="16">
        <v>21.033899999999999</v>
      </c>
      <c r="F167" s="16">
        <v>12.1584</v>
      </c>
      <c r="G167" s="29">
        <f t="shared" si="17"/>
        <v>15.518737739463592</v>
      </c>
      <c r="H167" s="17">
        <f t="shared" si="18"/>
        <v>18.188893048271389</v>
      </c>
      <c r="I167" s="17">
        <f t="shared" si="19"/>
        <v>12.848582430655794</v>
      </c>
      <c r="J167" s="17">
        <f t="shared" si="20"/>
        <v>20.859048357079189</v>
      </c>
      <c r="K167" s="17">
        <f t="shared" si="21"/>
        <v>10.178427121847996</v>
      </c>
      <c r="L167" s="17">
        <f t="shared" si="22"/>
        <v>0.37105042439601527</v>
      </c>
      <c r="M167" s="11">
        <f t="shared" si="23"/>
        <v>0.22916278896623599</v>
      </c>
    </row>
    <row r="168" spans="1:13" x14ac:dyDescent="0.2">
      <c r="A168" s="6">
        <v>43791</v>
      </c>
      <c r="B168" s="16">
        <v>16.629100000000001</v>
      </c>
      <c r="C168" s="16">
        <v>13.516</v>
      </c>
      <c r="D168" s="16">
        <v>14.3851</v>
      </c>
      <c r="E168" s="16">
        <v>21.0884</v>
      </c>
      <c r="F168" s="16">
        <v>12.2576</v>
      </c>
      <c r="G168" s="29">
        <f t="shared" si="17"/>
        <v>15.518737739463592</v>
      </c>
      <c r="H168" s="17">
        <f t="shared" si="18"/>
        <v>18.188893048271389</v>
      </c>
      <c r="I168" s="17">
        <f t="shared" si="19"/>
        <v>12.848582430655794</v>
      </c>
      <c r="J168" s="17">
        <f t="shared" si="20"/>
        <v>20.859048357079189</v>
      </c>
      <c r="K168" s="17">
        <f t="shared" si="21"/>
        <v>10.178427121847996</v>
      </c>
      <c r="L168" s="17">
        <f t="shared" si="22"/>
        <v>0.41584182645622064</v>
      </c>
      <c r="M168" s="11">
        <f t="shared" si="23"/>
        <v>0.23032701982835158</v>
      </c>
    </row>
    <row r="169" spans="1:13" x14ac:dyDescent="0.2">
      <c r="A169" s="6">
        <v>43798</v>
      </c>
      <c r="B169" s="16">
        <v>16.5426</v>
      </c>
      <c r="C169" s="16">
        <v>13.5938</v>
      </c>
      <c r="D169" s="16">
        <v>14.5848</v>
      </c>
      <c r="E169" s="16">
        <v>22.0627</v>
      </c>
      <c r="F169" s="16">
        <v>12.686500000000001</v>
      </c>
      <c r="G169" s="29">
        <f t="shared" si="17"/>
        <v>15.518737739463592</v>
      </c>
      <c r="H169" s="17">
        <f t="shared" si="18"/>
        <v>18.188893048271389</v>
      </c>
      <c r="I169" s="17">
        <f t="shared" si="19"/>
        <v>12.848582430655794</v>
      </c>
      <c r="J169" s="17">
        <f t="shared" si="20"/>
        <v>20.859048357079189</v>
      </c>
      <c r="K169" s="17">
        <f t="shared" si="21"/>
        <v>10.178427121847996</v>
      </c>
      <c r="L169" s="17">
        <f t="shared" si="22"/>
        <v>0.38344670707321277</v>
      </c>
      <c r="M169" s="11">
        <f t="shared" si="23"/>
        <v>0.21692242051523491</v>
      </c>
    </row>
    <row r="170" spans="1:13" x14ac:dyDescent="0.2">
      <c r="A170" s="6">
        <v>43805</v>
      </c>
      <c r="B170" s="16">
        <v>17.060300000000002</v>
      </c>
      <c r="C170" s="16">
        <v>13.7203</v>
      </c>
      <c r="D170" s="16">
        <v>14.694100000000001</v>
      </c>
      <c r="E170" s="16">
        <v>21.761900000000001</v>
      </c>
      <c r="F170" s="16">
        <v>12.875500000000001</v>
      </c>
      <c r="G170" s="29">
        <f t="shared" si="17"/>
        <v>15.518737739463592</v>
      </c>
      <c r="H170" s="17">
        <f t="shared" si="18"/>
        <v>18.188893048271389</v>
      </c>
      <c r="I170" s="17">
        <f t="shared" si="19"/>
        <v>12.848582430655794</v>
      </c>
      <c r="J170" s="17">
        <f t="shared" si="20"/>
        <v>20.859048357079189</v>
      </c>
      <c r="K170" s="17">
        <f t="shared" si="21"/>
        <v>10.178427121847996</v>
      </c>
      <c r="L170" s="17">
        <f t="shared" si="22"/>
        <v>0.57733056030538676</v>
      </c>
      <c r="M170" s="11">
        <f t="shared" si="23"/>
        <v>0.24343491031537234</v>
      </c>
    </row>
    <row r="171" spans="1:13" x14ac:dyDescent="0.2">
      <c r="A171" s="6">
        <v>43812</v>
      </c>
      <c r="B171" s="16">
        <v>17.089200000000002</v>
      </c>
      <c r="C171" s="16">
        <v>14.184900000000001</v>
      </c>
      <c r="D171" s="16">
        <v>15.233700000000001</v>
      </c>
      <c r="E171" s="16">
        <v>22.034400000000002</v>
      </c>
      <c r="F171" s="16">
        <v>13.275</v>
      </c>
      <c r="G171" s="29">
        <f t="shared" si="17"/>
        <v>15.518737739463592</v>
      </c>
      <c r="H171" s="17">
        <f t="shared" si="18"/>
        <v>18.188893048271389</v>
      </c>
      <c r="I171" s="17">
        <f t="shared" si="19"/>
        <v>12.848582430655794</v>
      </c>
      <c r="J171" s="17">
        <f t="shared" si="20"/>
        <v>20.859048357079189</v>
      </c>
      <c r="K171" s="17">
        <f t="shared" si="21"/>
        <v>10.178427121847996</v>
      </c>
      <c r="L171" s="17">
        <f t="shared" si="22"/>
        <v>0.58815390076976737</v>
      </c>
      <c r="M171" s="11">
        <f t="shared" si="23"/>
        <v>0.20474589175813729</v>
      </c>
    </row>
    <row r="172" spans="1:13" x14ac:dyDescent="0.2">
      <c r="A172" s="6">
        <v>43819</v>
      </c>
      <c r="B172" s="16">
        <v>17.526</v>
      </c>
      <c r="C172" s="16">
        <v>14.371</v>
      </c>
      <c r="D172" s="16">
        <v>15.354900000000001</v>
      </c>
      <c r="E172" s="16">
        <v>22.396599999999999</v>
      </c>
      <c r="F172" s="16">
        <v>13.5763</v>
      </c>
      <c r="G172" s="29">
        <f t="shared" si="17"/>
        <v>15.518737739463592</v>
      </c>
      <c r="H172" s="17">
        <f t="shared" si="18"/>
        <v>18.188893048271389</v>
      </c>
      <c r="I172" s="17">
        <f t="shared" si="19"/>
        <v>12.848582430655794</v>
      </c>
      <c r="J172" s="17">
        <f t="shared" si="20"/>
        <v>20.859048357079189</v>
      </c>
      <c r="K172" s="17">
        <f t="shared" si="21"/>
        <v>10.178427121847996</v>
      </c>
      <c r="L172" s="17">
        <f t="shared" si="22"/>
        <v>0.751739890902688</v>
      </c>
      <c r="M172" s="11">
        <f t="shared" si="23"/>
        <v>0.21953935008002223</v>
      </c>
    </row>
    <row r="173" spans="1:13" x14ac:dyDescent="0.2">
      <c r="A173" s="6">
        <v>43826</v>
      </c>
      <c r="B173" s="16">
        <v>17.359100000000002</v>
      </c>
      <c r="C173" s="16">
        <v>14.4947</v>
      </c>
      <c r="D173" s="16">
        <v>15.493</v>
      </c>
      <c r="E173" s="16">
        <v>22.4054</v>
      </c>
      <c r="F173" s="16">
        <v>13.7525</v>
      </c>
      <c r="G173" s="29">
        <f t="shared" si="17"/>
        <v>15.518737739463592</v>
      </c>
      <c r="H173" s="17">
        <f t="shared" si="18"/>
        <v>18.188893048271389</v>
      </c>
      <c r="I173" s="17">
        <f t="shared" si="19"/>
        <v>12.848582430655794</v>
      </c>
      <c r="J173" s="17">
        <f t="shared" si="20"/>
        <v>20.859048357079189</v>
      </c>
      <c r="K173" s="17">
        <f t="shared" si="21"/>
        <v>10.178427121847996</v>
      </c>
      <c r="L173" s="17">
        <f t="shared" si="22"/>
        <v>0.68923416344576427</v>
      </c>
      <c r="M173" s="11">
        <f t="shared" si="23"/>
        <v>0.19761706002883828</v>
      </c>
    </row>
    <row r="174" spans="1:13" x14ac:dyDescent="0.2">
      <c r="A174" s="6">
        <v>43833</v>
      </c>
      <c r="B174" s="16">
        <v>17.452000000000002</v>
      </c>
      <c r="C174" s="16">
        <v>14.5138</v>
      </c>
      <c r="D174" s="16">
        <v>15.5198</v>
      </c>
      <c r="E174" s="16">
        <v>22.379799999999999</v>
      </c>
      <c r="F174" s="16">
        <v>13.888999999999999</v>
      </c>
      <c r="G174" s="29">
        <f t="shared" si="17"/>
        <v>15.518737739463592</v>
      </c>
      <c r="H174" s="17">
        <f t="shared" si="18"/>
        <v>18.188893048271389</v>
      </c>
      <c r="I174" s="17">
        <f t="shared" si="19"/>
        <v>12.848582430655794</v>
      </c>
      <c r="J174" s="17">
        <f t="shared" si="20"/>
        <v>20.859048357079189</v>
      </c>
      <c r="K174" s="17">
        <f t="shared" si="21"/>
        <v>10.178427121847996</v>
      </c>
      <c r="L174" s="17">
        <f t="shared" si="22"/>
        <v>0.72402614715306379</v>
      </c>
      <c r="M174" s="11">
        <f t="shared" si="23"/>
        <v>0.20244181399771266</v>
      </c>
    </row>
    <row r="175" spans="1:13" x14ac:dyDescent="0.2">
      <c r="A175" s="6">
        <v>43840</v>
      </c>
      <c r="B175" s="16">
        <v>17.396999999999998</v>
      </c>
      <c r="C175" s="16">
        <v>14.6858</v>
      </c>
      <c r="D175" s="16">
        <v>15.7418</v>
      </c>
      <c r="E175" s="16">
        <v>22.481999999999999</v>
      </c>
      <c r="F175" s="16">
        <v>14.089</v>
      </c>
      <c r="G175" s="29">
        <f t="shared" si="17"/>
        <v>15.518737739463592</v>
      </c>
      <c r="H175" s="17">
        <f t="shared" si="18"/>
        <v>18.188893048271389</v>
      </c>
      <c r="I175" s="17">
        <f t="shared" si="19"/>
        <v>12.848582430655794</v>
      </c>
      <c r="J175" s="17">
        <f t="shared" si="20"/>
        <v>20.859048357079189</v>
      </c>
      <c r="K175" s="17">
        <f t="shared" si="21"/>
        <v>10.178427121847996</v>
      </c>
      <c r="L175" s="17">
        <f t="shared" si="22"/>
        <v>0.70342809436617915</v>
      </c>
      <c r="M175" s="11">
        <f t="shared" si="23"/>
        <v>0.18461370848030056</v>
      </c>
    </row>
    <row r="176" spans="1:13" x14ac:dyDescent="0.2">
      <c r="A176" s="6">
        <v>43847</v>
      </c>
      <c r="B176" s="16">
        <v>17.630199999999999</v>
      </c>
      <c r="C176" s="16">
        <v>14.878399999999999</v>
      </c>
      <c r="D176" s="16">
        <v>15.9915</v>
      </c>
      <c r="E176" s="16">
        <v>22.8047</v>
      </c>
      <c r="F176" s="16">
        <v>14.3171</v>
      </c>
      <c r="G176" s="29">
        <f t="shared" si="17"/>
        <v>15.518737739463592</v>
      </c>
      <c r="H176" s="17">
        <f t="shared" si="18"/>
        <v>18.188893048271389</v>
      </c>
      <c r="I176" s="17">
        <f t="shared" si="19"/>
        <v>12.848582430655794</v>
      </c>
      <c r="J176" s="17">
        <f t="shared" si="20"/>
        <v>20.859048357079189</v>
      </c>
      <c r="K176" s="17">
        <f t="shared" si="21"/>
        <v>10.178427121847996</v>
      </c>
      <c r="L176" s="17">
        <f t="shared" si="22"/>
        <v>0.79076383818256479</v>
      </c>
      <c r="M176" s="11">
        <f t="shared" si="23"/>
        <v>0.18495268308420254</v>
      </c>
    </row>
    <row r="177" spans="1:13" x14ac:dyDescent="0.2">
      <c r="A177" s="6">
        <v>43854</v>
      </c>
      <c r="B177" s="16">
        <v>17.627600000000001</v>
      </c>
      <c r="C177" s="16">
        <v>14.557</v>
      </c>
      <c r="D177" s="16">
        <v>15.593299999999999</v>
      </c>
      <c r="E177" s="16">
        <v>22.756599999999999</v>
      </c>
      <c r="F177" s="16">
        <v>13.6381</v>
      </c>
      <c r="G177" s="29">
        <f t="shared" si="17"/>
        <v>15.518737739463592</v>
      </c>
      <c r="H177" s="17">
        <f t="shared" si="18"/>
        <v>18.188893048271389</v>
      </c>
      <c r="I177" s="17">
        <f t="shared" si="19"/>
        <v>12.848582430655794</v>
      </c>
      <c r="J177" s="17">
        <f t="shared" si="20"/>
        <v>20.859048357079189</v>
      </c>
      <c r="K177" s="17">
        <f t="shared" si="21"/>
        <v>10.178427121847996</v>
      </c>
      <c r="L177" s="17">
        <f t="shared" si="22"/>
        <v>0.78979011205082217</v>
      </c>
      <c r="M177" s="11">
        <f t="shared" si="23"/>
        <v>0.21093631929655832</v>
      </c>
    </row>
    <row r="178" spans="1:13" x14ac:dyDescent="0.2">
      <c r="A178" s="6">
        <v>43861</v>
      </c>
      <c r="B178" s="16">
        <v>16.611599999999999</v>
      </c>
      <c r="C178" s="16">
        <v>13.9474</v>
      </c>
      <c r="D178" s="16">
        <v>14.9176</v>
      </c>
      <c r="E178" s="16">
        <v>18.420500000000001</v>
      </c>
      <c r="F178" s="16">
        <v>12.968500000000001</v>
      </c>
      <c r="G178" s="29">
        <f t="shared" si="17"/>
        <v>15.518737739463592</v>
      </c>
      <c r="H178" s="17">
        <f t="shared" si="18"/>
        <v>18.188893048271389</v>
      </c>
      <c r="I178" s="17">
        <f t="shared" si="19"/>
        <v>12.848582430655794</v>
      </c>
      <c r="J178" s="17">
        <f t="shared" si="20"/>
        <v>20.859048357079189</v>
      </c>
      <c r="K178" s="17">
        <f t="shared" si="21"/>
        <v>10.178427121847996</v>
      </c>
      <c r="L178" s="17">
        <f t="shared" si="22"/>
        <v>0.40928790056948433</v>
      </c>
      <c r="M178" s="11">
        <f t="shared" si="23"/>
        <v>0.19101768071468506</v>
      </c>
    </row>
    <row r="179" spans="1:13" x14ac:dyDescent="0.2">
      <c r="A179" s="6">
        <v>43868</v>
      </c>
      <c r="B179" s="16">
        <v>16.868400000000001</v>
      </c>
      <c r="C179" s="16">
        <v>14.3789</v>
      </c>
      <c r="D179" s="16">
        <v>15.4704</v>
      </c>
      <c r="E179" s="16">
        <v>18.841699999999999</v>
      </c>
      <c r="F179" s="16">
        <v>13.548299999999999</v>
      </c>
      <c r="G179" s="29">
        <f t="shared" si="17"/>
        <v>15.518737739463592</v>
      </c>
      <c r="H179" s="17">
        <f t="shared" si="18"/>
        <v>18.188893048271389</v>
      </c>
      <c r="I179" s="17">
        <f t="shared" si="19"/>
        <v>12.848582430655794</v>
      </c>
      <c r="J179" s="17">
        <f t="shared" si="20"/>
        <v>20.859048357079189</v>
      </c>
      <c r="K179" s="17">
        <f t="shared" si="21"/>
        <v>10.178427121847996</v>
      </c>
      <c r="L179" s="17">
        <f t="shared" si="22"/>
        <v>0.50546208158169703</v>
      </c>
      <c r="M179" s="11">
        <f t="shared" si="23"/>
        <v>0.17313563624477535</v>
      </c>
    </row>
    <row r="180" spans="1:13" x14ac:dyDescent="0.2">
      <c r="A180" s="6">
        <v>43875</v>
      </c>
      <c r="B180" s="16">
        <v>16.4694</v>
      </c>
      <c r="C180" s="16">
        <v>14.6814</v>
      </c>
      <c r="D180" s="16">
        <v>15.7956</v>
      </c>
      <c r="E180" s="16">
        <v>18.839500000000001</v>
      </c>
      <c r="F180" s="16">
        <v>13.8827</v>
      </c>
      <c r="G180" s="29">
        <f t="shared" si="17"/>
        <v>15.518737739463592</v>
      </c>
      <c r="H180" s="17">
        <f t="shared" si="18"/>
        <v>18.188893048271389</v>
      </c>
      <c r="I180" s="17">
        <f t="shared" si="19"/>
        <v>12.848582430655794</v>
      </c>
      <c r="J180" s="17">
        <f t="shared" si="20"/>
        <v>20.859048357079189</v>
      </c>
      <c r="K180" s="17">
        <f t="shared" si="21"/>
        <v>10.178427121847996</v>
      </c>
      <c r="L180" s="17">
        <f t="shared" si="22"/>
        <v>0.35603257136412436</v>
      </c>
      <c r="M180" s="11">
        <f t="shared" si="23"/>
        <v>0.12178675058236954</v>
      </c>
    </row>
    <row r="181" spans="1:13" x14ac:dyDescent="0.2">
      <c r="A181" s="6">
        <v>43882</v>
      </c>
      <c r="B181" s="16">
        <v>16.564900000000002</v>
      </c>
      <c r="C181" s="16">
        <v>14.497199999999999</v>
      </c>
      <c r="D181" s="16">
        <v>15.5335</v>
      </c>
      <c r="E181" s="16">
        <v>18.777999999999999</v>
      </c>
      <c r="F181" s="16">
        <v>13.8363</v>
      </c>
      <c r="G181" s="29">
        <f t="shared" si="17"/>
        <v>15.518737739463592</v>
      </c>
      <c r="H181" s="17">
        <f t="shared" si="18"/>
        <v>18.188893048271389</v>
      </c>
      <c r="I181" s="17">
        <f t="shared" si="19"/>
        <v>12.848582430655794</v>
      </c>
      <c r="J181" s="17">
        <f t="shared" si="20"/>
        <v>20.859048357079189</v>
      </c>
      <c r="K181" s="17">
        <f t="shared" si="21"/>
        <v>10.178427121847996</v>
      </c>
      <c r="L181" s="17">
        <f t="shared" si="22"/>
        <v>0.39179828120316784</v>
      </c>
      <c r="M181" s="11">
        <f t="shared" si="23"/>
        <v>0.14262754187015436</v>
      </c>
    </row>
    <row r="182" spans="1:13" x14ac:dyDescent="0.2">
      <c r="A182" s="6">
        <v>43889</v>
      </c>
      <c r="B182" s="16">
        <v>15.2089</v>
      </c>
      <c r="C182" s="16">
        <v>13.5297</v>
      </c>
      <c r="D182" s="16">
        <v>14.819599999999999</v>
      </c>
      <c r="E182" s="16">
        <v>17.297499999999999</v>
      </c>
      <c r="F182" s="16">
        <v>13.2559</v>
      </c>
      <c r="G182" s="29">
        <f t="shared" si="17"/>
        <v>15.518737739463592</v>
      </c>
      <c r="H182" s="17">
        <f t="shared" si="18"/>
        <v>18.188893048271389</v>
      </c>
      <c r="I182" s="17">
        <f t="shared" si="19"/>
        <v>12.848582430655794</v>
      </c>
      <c r="J182" s="17">
        <f t="shared" si="20"/>
        <v>20.859048357079189</v>
      </c>
      <c r="K182" s="17">
        <f t="shared" si="21"/>
        <v>10.178427121847996</v>
      </c>
      <c r="L182" s="17">
        <f t="shared" si="22"/>
        <v>-0.11603734750617649</v>
      </c>
      <c r="M182" s="11">
        <f t="shared" si="23"/>
        <v>0.12411213848052793</v>
      </c>
    </row>
    <row r="183" spans="1:13" x14ac:dyDescent="0.2">
      <c r="A183" s="6">
        <v>43896</v>
      </c>
      <c r="B183" s="16">
        <v>15.3279</v>
      </c>
      <c r="C183" s="16">
        <v>13.6714</v>
      </c>
      <c r="D183" s="16">
        <v>15.0694</v>
      </c>
      <c r="E183" s="16">
        <v>17.2471</v>
      </c>
      <c r="F183" s="16">
        <v>13.533099999999999</v>
      </c>
      <c r="G183" s="29">
        <f t="shared" si="17"/>
        <v>15.518737739463592</v>
      </c>
      <c r="H183" s="17">
        <f t="shared" si="18"/>
        <v>18.188893048271389</v>
      </c>
      <c r="I183" s="17">
        <f t="shared" si="19"/>
        <v>12.848582430655794</v>
      </c>
      <c r="J183" s="17">
        <f t="shared" si="20"/>
        <v>20.859048357079189</v>
      </c>
      <c r="K183" s="17">
        <f t="shared" si="21"/>
        <v>10.178427121847996</v>
      </c>
      <c r="L183" s="17">
        <f t="shared" si="22"/>
        <v>-7.1470651476374297E-2</v>
      </c>
      <c r="M183" s="11">
        <f t="shared" si="23"/>
        <v>0.12116535248767502</v>
      </c>
    </row>
    <row r="184" spans="1:13" x14ac:dyDescent="0.2">
      <c r="A184" s="6">
        <v>43903</v>
      </c>
      <c r="B184" s="16">
        <v>13.562799999999999</v>
      </c>
      <c r="C184" s="16">
        <v>12.019600000000001</v>
      </c>
      <c r="D184" s="16">
        <v>13.5678</v>
      </c>
      <c r="E184" s="16">
        <v>15.6281</v>
      </c>
      <c r="F184" s="16">
        <v>12.4902</v>
      </c>
      <c r="G184" s="29">
        <f t="shared" si="17"/>
        <v>15.518737739463592</v>
      </c>
      <c r="H184" s="17">
        <f t="shared" si="18"/>
        <v>18.188893048271389</v>
      </c>
      <c r="I184" s="17">
        <f t="shared" si="19"/>
        <v>12.848582430655794</v>
      </c>
      <c r="J184" s="17">
        <f t="shared" si="20"/>
        <v>20.859048357079189</v>
      </c>
      <c r="K184" s="17">
        <f t="shared" si="21"/>
        <v>10.178427121847996</v>
      </c>
      <c r="L184" s="17">
        <f t="shared" si="22"/>
        <v>-0.7325183419150636</v>
      </c>
      <c r="M184" s="11">
        <f t="shared" si="23"/>
        <v>0.1283902958501113</v>
      </c>
    </row>
    <row r="185" spans="1:13" x14ac:dyDescent="0.2">
      <c r="A185" s="6">
        <v>43910</v>
      </c>
      <c r="B185" s="16">
        <v>11.050800000000001</v>
      </c>
      <c r="C185" s="16">
        <v>10.8186</v>
      </c>
      <c r="D185" s="16">
        <v>12.3613</v>
      </c>
      <c r="E185" s="16">
        <v>14.2639</v>
      </c>
      <c r="F185" s="16">
        <v>11.5801</v>
      </c>
      <c r="G185" s="29">
        <f t="shared" si="17"/>
        <v>15.518737739463592</v>
      </c>
      <c r="H185" s="17">
        <f t="shared" si="18"/>
        <v>18.188893048271389</v>
      </c>
      <c r="I185" s="17">
        <f t="shared" si="19"/>
        <v>12.848582430655794</v>
      </c>
      <c r="J185" s="17">
        <f t="shared" si="20"/>
        <v>20.859048357079189</v>
      </c>
      <c r="K185" s="17">
        <f t="shared" si="21"/>
        <v>10.178427121847996</v>
      </c>
      <c r="L185" s="17">
        <f t="shared" si="22"/>
        <v>-1.6732875891996291</v>
      </c>
      <c r="M185" s="11">
        <f t="shared" si="23"/>
        <v>2.1463035882646642E-2</v>
      </c>
    </row>
    <row r="186" spans="1:13" x14ac:dyDescent="0.2">
      <c r="A186" s="6">
        <v>43917</v>
      </c>
      <c r="B186" s="16">
        <v>11.8789</v>
      </c>
      <c r="C186" s="16">
        <v>11.0435</v>
      </c>
      <c r="D186" s="16">
        <v>12.146699999999999</v>
      </c>
      <c r="E186" s="16">
        <v>14.1175</v>
      </c>
      <c r="F186" s="16">
        <v>11.7377</v>
      </c>
      <c r="G186" s="29">
        <f t="shared" si="17"/>
        <v>15.518737739463592</v>
      </c>
      <c r="H186" s="17">
        <f t="shared" si="18"/>
        <v>18.188893048271389</v>
      </c>
      <c r="I186" s="17">
        <f t="shared" si="19"/>
        <v>12.848582430655794</v>
      </c>
      <c r="J186" s="17">
        <f t="shared" si="20"/>
        <v>20.859048357079189</v>
      </c>
      <c r="K186" s="17">
        <f t="shared" si="21"/>
        <v>10.178427121847996</v>
      </c>
      <c r="L186" s="17">
        <f t="shared" si="22"/>
        <v>-1.3631558162392994</v>
      </c>
      <c r="M186" s="11">
        <f t="shared" si="23"/>
        <v>7.5646307782858635E-2</v>
      </c>
    </row>
    <row r="187" spans="1:13" x14ac:dyDescent="0.2">
      <c r="A187" s="6">
        <v>43924</v>
      </c>
      <c r="B187" s="16">
        <v>12.078200000000001</v>
      </c>
      <c r="C187" s="16">
        <v>11.276</v>
      </c>
      <c r="D187" s="16">
        <v>12.3001</v>
      </c>
      <c r="E187" s="16">
        <v>13.7958</v>
      </c>
      <c r="F187" s="16">
        <v>11.945499999999999</v>
      </c>
      <c r="G187" s="29">
        <f t="shared" si="17"/>
        <v>15.518737739463592</v>
      </c>
      <c r="H187" s="17">
        <f t="shared" si="18"/>
        <v>18.188893048271389</v>
      </c>
      <c r="I187" s="17">
        <f t="shared" si="19"/>
        <v>12.848582430655794</v>
      </c>
      <c r="J187" s="17">
        <f t="shared" si="20"/>
        <v>20.859048357079189</v>
      </c>
      <c r="K187" s="17">
        <f t="shared" si="21"/>
        <v>10.178427121847996</v>
      </c>
      <c r="L187" s="17">
        <f t="shared" si="22"/>
        <v>-1.2885159631406469</v>
      </c>
      <c r="M187" s="11">
        <f t="shared" si="23"/>
        <v>7.1142249024476856E-2</v>
      </c>
    </row>
    <row r="188" spans="1:13" x14ac:dyDescent="0.2">
      <c r="A188" s="6">
        <v>43931</v>
      </c>
      <c r="B188" s="16">
        <v>12.2126</v>
      </c>
      <c r="C188" s="16">
        <v>12.1716</v>
      </c>
      <c r="D188" s="16">
        <v>13.119199999999999</v>
      </c>
      <c r="E188" s="16">
        <v>15.8973</v>
      </c>
      <c r="F188" s="16">
        <v>12.440200000000001</v>
      </c>
      <c r="G188" s="29">
        <f t="shared" si="17"/>
        <v>15.518737739463592</v>
      </c>
      <c r="H188" s="17">
        <f t="shared" si="18"/>
        <v>18.188893048271389</v>
      </c>
      <c r="I188" s="17">
        <f t="shared" si="19"/>
        <v>12.848582430655794</v>
      </c>
      <c r="J188" s="17">
        <f t="shared" si="20"/>
        <v>20.859048357079189</v>
      </c>
      <c r="K188" s="17">
        <f t="shared" si="21"/>
        <v>10.178427121847996</v>
      </c>
      <c r="L188" s="17">
        <f t="shared" si="22"/>
        <v>-1.2381818123305175</v>
      </c>
      <c r="M188" s="11">
        <f t="shared" si="23"/>
        <v>3.3684971573171296E-3</v>
      </c>
    </row>
    <row r="189" spans="1:13" x14ac:dyDescent="0.2">
      <c r="A189" s="6">
        <v>43938</v>
      </c>
      <c r="B189" s="16">
        <v>12.476900000000001</v>
      </c>
      <c r="C189" s="16">
        <v>12.68</v>
      </c>
      <c r="D189" s="16">
        <v>13.676</v>
      </c>
      <c r="E189" s="16">
        <v>16.789899999999999</v>
      </c>
      <c r="F189" s="16">
        <v>12.861000000000001</v>
      </c>
      <c r="G189" s="29">
        <f t="shared" si="17"/>
        <v>15.518737739463592</v>
      </c>
      <c r="H189" s="17">
        <f t="shared" si="18"/>
        <v>18.188893048271389</v>
      </c>
      <c r="I189" s="17">
        <f t="shared" si="19"/>
        <v>12.848582430655794</v>
      </c>
      <c r="J189" s="17">
        <f t="shared" si="20"/>
        <v>20.859048357079189</v>
      </c>
      <c r="K189" s="17">
        <f t="shared" si="21"/>
        <v>10.178427121847996</v>
      </c>
      <c r="L189" s="17">
        <f t="shared" si="22"/>
        <v>-1.1391988059382758</v>
      </c>
      <c r="M189" s="11">
        <f t="shared" si="23"/>
        <v>-1.6017350157728649E-2</v>
      </c>
    </row>
    <row r="190" spans="1:13" x14ac:dyDescent="0.2">
      <c r="A190" s="6">
        <v>43945</v>
      </c>
      <c r="B190" s="16">
        <v>12.007300000000001</v>
      </c>
      <c r="C190" s="16">
        <v>12.604900000000001</v>
      </c>
      <c r="D190" s="16">
        <v>13.519299999999999</v>
      </c>
      <c r="E190" s="16">
        <v>17.046800000000001</v>
      </c>
      <c r="F190" s="16">
        <v>12.761900000000001</v>
      </c>
      <c r="G190" s="29">
        <f t="shared" si="17"/>
        <v>15.518737739463592</v>
      </c>
      <c r="H190" s="17">
        <f t="shared" si="18"/>
        <v>18.188893048271389</v>
      </c>
      <c r="I190" s="17">
        <f t="shared" si="19"/>
        <v>12.848582430655794</v>
      </c>
      <c r="J190" s="17">
        <f t="shared" si="20"/>
        <v>20.859048357079189</v>
      </c>
      <c r="K190" s="17">
        <f t="shared" si="21"/>
        <v>10.178427121847996</v>
      </c>
      <c r="L190" s="17">
        <f t="shared" si="22"/>
        <v>-1.315068725733193</v>
      </c>
      <c r="M190" s="11">
        <f t="shared" si="23"/>
        <v>-4.7410134154178163E-2</v>
      </c>
    </row>
    <row r="191" spans="1:13" x14ac:dyDescent="0.2">
      <c r="A191" s="6">
        <v>43952</v>
      </c>
      <c r="B191" s="16">
        <v>13.166499999999999</v>
      </c>
      <c r="C191" s="16">
        <v>13.2872</v>
      </c>
      <c r="D191" s="16">
        <v>14.1348</v>
      </c>
      <c r="E191" s="16">
        <v>18.752500000000001</v>
      </c>
      <c r="F191" s="16">
        <v>12.995799999999999</v>
      </c>
      <c r="G191" s="29">
        <f t="shared" si="17"/>
        <v>15.518737739463592</v>
      </c>
      <c r="H191" s="17">
        <f t="shared" si="18"/>
        <v>18.188893048271389</v>
      </c>
      <c r="I191" s="17">
        <f t="shared" si="19"/>
        <v>12.848582430655794</v>
      </c>
      <c r="J191" s="17">
        <f t="shared" si="20"/>
        <v>20.859048357079189</v>
      </c>
      <c r="K191" s="17">
        <f t="shared" si="21"/>
        <v>10.178427121847996</v>
      </c>
      <c r="L191" s="17">
        <f t="shared" si="22"/>
        <v>-0.8809366749958254</v>
      </c>
      <c r="M191" s="11">
        <f t="shared" si="23"/>
        <v>-9.0839303991812059E-3</v>
      </c>
    </row>
    <row r="192" spans="1:13" x14ac:dyDescent="0.2">
      <c r="A192" s="6">
        <v>43959</v>
      </c>
      <c r="B192" s="16">
        <v>12.933400000000001</v>
      </c>
      <c r="C192" s="16">
        <v>13.4588</v>
      </c>
      <c r="D192" s="16">
        <v>14.204000000000001</v>
      </c>
      <c r="E192" s="16">
        <v>18.177099999999999</v>
      </c>
      <c r="F192" s="16">
        <v>13.242100000000001</v>
      </c>
      <c r="G192" s="29">
        <f t="shared" si="17"/>
        <v>15.518737739463592</v>
      </c>
      <c r="H192" s="17">
        <f t="shared" si="18"/>
        <v>18.188893048271389</v>
      </c>
      <c r="I192" s="17">
        <f t="shared" si="19"/>
        <v>12.848582430655794</v>
      </c>
      <c r="J192" s="17">
        <f t="shared" si="20"/>
        <v>20.859048357079189</v>
      </c>
      <c r="K192" s="17">
        <f t="shared" si="21"/>
        <v>10.178427121847996</v>
      </c>
      <c r="L192" s="17">
        <f t="shared" si="22"/>
        <v>-0.96823496780714347</v>
      </c>
      <c r="M192" s="11">
        <f t="shared" si="23"/>
        <v>-3.9037655660237092E-2</v>
      </c>
    </row>
    <row r="193" spans="1:13" x14ac:dyDescent="0.2">
      <c r="A193" s="6">
        <v>43966</v>
      </c>
      <c r="B193" s="16">
        <v>12.9085</v>
      </c>
      <c r="C193" s="16">
        <v>13.427300000000001</v>
      </c>
      <c r="D193" s="16">
        <v>14.1813</v>
      </c>
      <c r="E193" s="16">
        <v>18.4786</v>
      </c>
      <c r="F193" s="16">
        <v>13.2311</v>
      </c>
      <c r="G193" s="29">
        <f t="shared" si="17"/>
        <v>15.518737739463592</v>
      </c>
      <c r="H193" s="17">
        <f t="shared" si="18"/>
        <v>18.188893048271389</v>
      </c>
      <c r="I193" s="17">
        <f t="shared" si="19"/>
        <v>12.848582430655794</v>
      </c>
      <c r="J193" s="17">
        <f t="shared" si="20"/>
        <v>20.859048357079189</v>
      </c>
      <c r="K193" s="17">
        <f t="shared" si="21"/>
        <v>10.178427121847996</v>
      </c>
      <c r="L193" s="17">
        <f t="shared" si="22"/>
        <v>-0.97756026806884178</v>
      </c>
      <c r="M193" s="11">
        <f t="shared" si="23"/>
        <v>-3.863770080358675E-2</v>
      </c>
    </row>
    <row r="194" spans="1:13" x14ac:dyDescent="0.2">
      <c r="A194" s="6">
        <v>43973</v>
      </c>
      <c r="B194" s="16">
        <v>13.736000000000001</v>
      </c>
      <c r="C194" s="16">
        <v>13.5876</v>
      </c>
      <c r="D194" s="16">
        <v>14.125400000000001</v>
      </c>
      <c r="E194" s="16">
        <v>18.690899999999999</v>
      </c>
      <c r="F194" s="16">
        <v>12.9132</v>
      </c>
      <c r="G194" s="29">
        <f t="shared" si="17"/>
        <v>15.518737739463592</v>
      </c>
      <c r="H194" s="17">
        <f t="shared" si="18"/>
        <v>18.188893048271389</v>
      </c>
      <c r="I194" s="17">
        <f t="shared" si="19"/>
        <v>12.848582430655794</v>
      </c>
      <c r="J194" s="17">
        <f t="shared" si="20"/>
        <v>20.859048357079189</v>
      </c>
      <c r="K194" s="17">
        <f t="shared" si="21"/>
        <v>10.178427121847996</v>
      </c>
      <c r="L194" s="17">
        <f t="shared" si="22"/>
        <v>-0.66765320113891391</v>
      </c>
      <c r="M194" s="11">
        <f t="shared" si="23"/>
        <v>1.0921722747210705E-2</v>
      </c>
    </row>
    <row r="195" spans="1:13" x14ac:dyDescent="0.2">
      <c r="A195" s="6">
        <v>43980</v>
      </c>
      <c r="B195" s="16">
        <v>15.4057</v>
      </c>
      <c r="C195" s="16">
        <v>14.020899999999999</v>
      </c>
      <c r="D195" s="16">
        <v>14.563599999999999</v>
      </c>
      <c r="E195" s="16">
        <v>19.848099999999999</v>
      </c>
      <c r="F195" s="16">
        <v>13.2372</v>
      </c>
      <c r="G195" s="29">
        <f t="shared" si="17"/>
        <v>15.518737739463592</v>
      </c>
      <c r="H195" s="17">
        <f t="shared" si="18"/>
        <v>18.188893048271389</v>
      </c>
      <c r="I195" s="17">
        <f t="shared" si="19"/>
        <v>12.848582430655794</v>
      </c>
      <c r="J195" s="17">
        <f t="shared" si="20"/>
        <v>20.859048357079189</v>
      </c>
      <c r="K195" s="17">
        <f t="shared" si="21"/>
        <v>10.178427121847996</v>
      </c>
      <c r="L195" s="17">
        <f t="shared" si="22"/>
        <v>-4.2333769534201086E-2</v>
      </c>
      <c r="M195" s="11">
        <f t="shared" si="23"/>
        <v>9.8766840930325506E-2</v>
      </c>
    </row>
    <row r="196" spans="1:13" x14ac:dyDescent="0.2">
      <c r="A196" s="6">
        <v>43987</v>
      </c>
      <c r="B196" s="16">
        <v>16.7347</v>
      </c>
      <c r="C196" s="16">
        <v>15.570399999999999</v>
      </c>
      <c r="D196" s="16">
        <v>16.051600000000001</v>
      </c>
      <c r="E196" s="16">
        <v>21.501999999999999</v>
      </c>
      <c r="F196" s="16">
        <v>14.848599999999999</v>
      </c>
      <c r="G196" s="29">
        <f t="shared" si="17"/>
        <v>15.518737739463592</v>
      </c>
      <c r="H196" s="17">
        <f t="shared" si="18"/>
        <v>18.188893048271389</v>
      </c>
      <c r="I196" s="17">
        <f t="shared" si="19"/>
        <v>12.848582430655794</v>
      </c>
      <c r="J196" s="17">
        <f t="shared" si="20"/>
        <v>20.859048357079189</v>
      </c>
      <c r="K196" s="17">
        <f t="shared" si="21"/>
        <v>10.178427121847996</v>
      </c>
      <c r="L196" s="17">
        <f t="shared" si="22"/>
        <v>0.45539008780703644</v>
      </c>
      <c r="M196" s="11">
        <f t="shared" si="23"/>
        <v>7.4776498998099017E-2</v>
      </c>
    </row>
    <row r="197" spans="1:13" x14ac:dyDescent="0.2">
      <c r="A197" s="6">
        <v>43994</v>
      </c>
      <c r="B197" s="16">
        <v>17.384599999999999</v>
      </c>
      <c r="C197" s="16">
        <v>15.3504</v>
      </c>
      <c r="D197" s="16">
        <v>15.826599999999999</v>
      </c>
      <c r="E197" s="16">
        <v>21.570499999999999</v>
      </c>
      <c r="F197" s="16">
        <v>14.683199999999999</v>
      </c>
      <c r="G197" s="29">
        <f t="shared" si="17"/>
        <v>15.518737739463592</v>
      </c>
      <c r="H197" s="17">
        <f t="shared" si="18"/>
        <v>18.188893048271389</v>
      </c>
      <c r="I197" s="17">
        <f t="shared" si="19"/>
        <v>12.848582430655794</v>
      </c>
      <c r="J197" s="17">
        <f t="shared" si="20"/>
        <v>20.859048357079189</v>
      </c>
      <c r="K197" s="17">
        <f t="shared" si="21"/>
        <v>10.178427121847996</v>
      </c>
      <c r="L197" s="17">
        <f t="shared" si="22"/>
        <v>0.69878416973786373</v>
      </c>
      <c r="M197" s="11">
        <f t="shared" si="23"/>
        <v>0.1325177194079632</v>
      </c>
    </row>
    <row r="198" spans="1:13" x14ac:dyDescent="0.2">
      <c r="A198" s="6">
        <v>44001</v>
      </c>
      <c r="B198" s="16">
        <v>18.033899999999999</v>
      </c>
      <c r="C198" s="16">
        <v>15.6534</v>
      </c>
      <c r="D198" s="16">
        <v>16.1614</v>
      </c>
      <c r="E198" s="16">
        <v>22.591699999999999</v>
      </c>
      <c r="F198" s="16">
        <v>15.1547</v>
      </c>
      <c r="G198" s="29">
        <f t="shared" ref="G198:G261" si="24">$R$6</f>
        <v>15.518737739463592</v>
      </c>
      <c r="H198" s="17">
        <f t="shared" ref="H198:H261" si="25">$R$6+$R$7</f>
        <v>18.188893048271389</v>
      </c>
      <c r="I198" s="17">
        <f t="shared" ref="I198:I261" si="26">$R$6-$R$7</f>
        <v>12.848582430655794</v>
      </c>
      <c r="J198" s="17">
        <f t="shared" ref="J198:J261" si="27">$R$6+2*$R$7</f>
        <v>20.859048357079189</v>
      </c>
      <c r="K198" s="17">
        <f t="shared" ref="K198:K261" si="28">$R$6-2*$R$7</f>
        <v>10.178427121847996</v>
      </c>
      <c r="L198" s="17">
        <f t="shared" ref="L198:L261" si="29">(B198-$R$6)/$R$7</f>
        <v>0.94195354563828926</v>
      </c>
      <c r="M198" s="11">
        <f t="shared" ref="M198:M261" si="30">IF(AND(ISNUMBER(B198),ISNUMBER(C198)),B198/C198-1,"")</f>
        <v>0.15207558741231941</v>
      </c>
    </row>
    <row r="199" spans="1:13" x14ac:dyDescent="0.2">
      <c r="A199" s="6">
        <v>44008</v>
      </c>
      <c r="B199" s="16">
        <v>18.552700000000002</v>
      </c>
      <c r="C199" s="16">
        <v>15.753299999999999</v>
      </c>
      <c r="D199" s="16">
        <v>16.226700000000001</v>
      </c>
      <c r="E199" s="16">
        <v>23.057500000000001</v>
      </c>
      <c r="F199" s="16">
        <v>15.135899999999999</v>
      </c>
      <c r="G199" s="29">
        <f t="shared" si="24"/>
        <v>15.518737739463592</v>
      </c>
      <c r="H199" s="17">
        <f t="shared" si="25"/>
        <v>18.188893048271389</v>
      </c>
      <c r="I199" s="17">
        <f t="shared" si="26"/>
        <v>12.848582430655794</v>
      </c>
      <c r="J199" s="17">
        <f t="shared" si="27"/>
        <v>20.859048357079189</v>
      </c>
      <c r="K199" s="17">
        <f t="shared" si="28"/>
        <v>10.178427121847996</v>
      </c>
      <c r="L199" s="17">
        <f t="shared" si="29"/>
        <v>1.1362493599262014</v>
      </c>
      <c r="M199" s="11">
        <f t="shared" si="30"/>
        <v>0.17770244964547133</v>
      </c>
    </row>
    <row r="200" spans="1:13" x14ac:dyDescent="0.2">
      <c r="A200" s="6">
        <v>44015</v>
      </c>
      <c r="B200" s="16">
        <v>18.8521</v>
      </c>
      <c r="C200" s="16">
        <v>16.350100000000001</v>
      </c>
      <c r="D200" s="16">
        <v>16.826599999999999</v>
      </c>
      <c r="E200" s="16">
        <v>24.022099999999998</v>
      </c>
      <c r="F200" s="16">
        <v>15.9002</v>
      </c>
      <c r="G200" s="29">
        <f t="shared" si="24"/>
        <v>15.518737739463592</v>
      </c>
      <c r="H200" s="17">
        <f t="shared" si="25"/>
        <v>18.188893048271389</v>
      </c>
      <c r="I200" s="17">
        <f t="shared" si="26"/>
        <v>12.848582430655794</v>
      </c>
      <c r="J200" s="17">
        <f t="shared" si="27"/>
        <v>20.859048357079189</v>
      </c>
      <c r="K200" s="17">
        <f t="shared" si="28"/>
        <v>10.178427121847996</v>
      </c>
      <c r="L200" s="17">
        <f t="shared" si="29"/>
        <v>1.2483776690969806</v>
      </c>
      <c r="M200" s="11">
        <f t="shared" si="30"/>
        <v>0.15302658699335159</v>
      </c>
    </row>
    <row r="201" spans="1:13" x14ac:dyDescent="0.2">
      <c r="A201" s="6">
        <v>44022</v>
      </c>
      <c r="B201" s="16">
        <v>19.019300000000001</v>
      </c>
      <c r="C201" s="16">
        <v>16.924399999999999</v>
      </c>
      <c r="D201" s="16">
        <v>17.3597</v>
      </c>
      <c r="E201" s="16">
        <v>24.435099999999998</v>
      </c>
      <c r="F201" s="16">
        <v>16.916699999999999</v>
      </c>
      <c r="G201" s="29">
        <f t="shared" si="24"/>
        <v>15.518737739463592</v>
      </c>
      <c r="H201" s="17">
        <f t="shared" si="25"/>
        <v>18.188893048271389</v>
      </c>
      <c r="I201" s="17">
        <f t="shared" si="26"/>
        <v>12.848582430655794</v>
      </c>
      <c r="J201" s="17">
        <f t="shared" si="27"/>
        <v>20.859048357079189</v>
      </c>
      <c r="K201" s="17">
        <f t="shared" si="28"/>
        <v>10.178427121847996</v>
      </c>
      <c r="L201" s="17">
        <f t="shared" si="29"/>
        <v>1.3109957495691067</v>
      </c>
      <c r="M201" s="11">
        <f t="shared" si="30"/>
        <v>0.12377986811940178</v>
      </c>
    </row>
    <row r="202" spans="1:13" x14ac:dyDescent="0.2">
      <c r="A202" s="6">
        <v>44029</v>
      </c>
      <c r="B202" s="16">
        <v>19.245699999999999</v>
      </c>
      <c r="C202" s="16">
        <v>16.803599999999999</v>
      </c>
      <c r="D202" s="16">
        <v>17.074300000000001</v>
      </c>
      <c r="E202" s="16">
        <v>26.689900000000002</v>
      </c>
      <c r="F202" s="16">
        <v>16.087499999999999</v>
      </c>
      <c r="G202" s="29">
        <f t="shared" si="24"/>
        <v>15.518737739463592</v>
      </c>
      <c r="H202" s="17">
        <f t="shared" si="25"/>
        <v>18.188893048271389</v>
      </c>
      <c r="I202" s="17">
        <f t="shared" si="26"/>
        <v>12.848582430655794</v>
      </c>
      <c r="J202" s="17">
        <f t="shared" si="27"/>
        <v>20.859048357079189</v>
      </c>
      <c r="K202" s="17">
        <f t="shared" si="28"/>
        <v>10.178427121847996</v>
      </c>
      <c r="L202" s="17">
        <f t="shared" si="29"/>
        <v>1.3957848250409315</v>
      </c>
      <c r="M202" s="11">
        <f t="shared" si="30"/>
        <v>0.14533195267680732</v>
      </c>
    </row>
    <row r="203" spans="1:13" x14ac:dyDescent="0.2">
      <c r="A203" s="6">
        <v>44036</v>
      </c>
      <c r="B203" s="16">
        <v>19.180599999999998</v>
      </c>
      <c r="C203" s="16">
        <v>16.8872</v>
      </c>
      <c r="D203" s="16">
        <v>17.055700000000002</v>
      </c>
      <c r="E203" s="16">
        <v>27.6907</v>
      </c>
      <c r="F203" s="16">
        <v>16.001799999999999</v>
      </c>
      <c r="G203" s="29">
        <f t="shared" si="24"/>
        <v>15.518737739463592</v>
      </c>
      <c r="H203" s="17">
        <f t="shared" si="25"/>
        <v>18.188893048271389</v>
      </c>
      <c r="I203" s="17">
        <f t="shared" si="26"/>
        <v>12.848582430655794</v>
      </c>
      <c r="J203" s="17">
        <f t="shared" si="27"/>
        <v>20.859048357079189</v>
      </c>
      <c r="K203" s="17">
        <f t="shared" si="28"/>
        <v>10.178427121847996</v>
      </c>
      <c r="L203" s="17">
        <f t="shared" si="29"/>
        <v>1.3714042207422745</v>
      </c>
      <c r="M203" s="11">
        <f t="shared" si="30"/>
        <v>0.1358070017528068</v>
      </c>
    </row>
    <row r="204" spans="1:13" x14ac:dyDescent="0.2">
      <c r="A204" s="6">
        <v>44043</v>
      </c>
      <c r="B204" s="16">
        <v>19.676300000000001</v>
      </c>
      <c r="C204" s="16">
        <v>17.2087</v>
      </c>
      <c r="D204" s="16">
        <v>17.501200000000001</v>
      </c>
      <c r="E204" s="16">
        <v>28.014900000000001</v>
      </c>
      <c r="F204" s="16">
        <v>16.336200000000002</v>
      </c>
      <c r="G204" s="29">
        <f t="shared" si="24"/>
        <v>15.518737739463592</v>
      </c>
      <c r="H204" s="17">
        <f t="shared" si="25"/>
        <v>18.188893048271389</v>
      </c>
      <c r="I204" s="17">
        <f t="shared" si="26"/>
        <v>12.848582430655794</v>
      </c>
      <c r="J204" s="17">
        <f t="shared" si="27"/>
        <v>20.859048357079189</v>
      </c>
      <c r="K204" s="17">
        <f t="shared" si="28"/>
        <v>10.178427121847996</v>
      </c>
      <c r="L204" s="17">
        <f t="shared" si="29"/>
        <v>1.5570488528596957</v>
      </c>
      <c r="M204" s="11">
        <f t="shared" si="30"/>
        <v>0.14339258630808849</v>
      </c>
    </row>
    <row r="205" spans="1:13" x14ac:dyDescent="0.2">
      <c r="A205" s="6">
        <v>44050</v>
      </c>
      <c r="B205" s="16">
        <v>19.797000000000001</v>
      </c>
      <c r="C205" s="16">
        <v>17.361899999999999</v>
      </c>
      <c r="D205" s="16">
        <v>17.770800000000001</v>
      </c>
      <c r="E205" s="16">
        <v>28.479900000000001</v>
      </c>
      <c r="F205" s="16">
        <v>16.476099999999999</v>
      </c>
      <c r="G205" s="29">
        <f t="shared" si="24"/>
        <v>15.518737739463592</v>
      </c>
      <c r="H205" s="17">
        <f t="shared" si="25"/>
        <v>18.188893048271389</v>
      </c>
      <c r="I205" s="17">
        <f t="shared" si="26"/>
        <v>12.848582430655794</v>
      </c>
      <c r="J205" s="17">
        <f t="shared" si="27"/>
        <v>20.859048357079189</v>
      </c>
      <c r="K205" s="17">
        <f t="shared" si="28"/>
        <v>10.178427121847996</v>
      </c>
      <c r="L205" s="17">
        <f t="shared" si="29"/>
        <v>1.6022522159756378</v>
      </c>
      <c r="M205" s="11">
        <f t="shared" si="30"/>
        <v>0.14025538679522409</v>
      </c>
    </row>
    <row r="206" spans="1:13" x14ac:dyDescent="0.2">
      <c r="A206" s="6">
        <v>44057</v>
      </c>
      <c r="B206" s="16">
        <v>20.519600000000001</v>
      </c>
      <c r="C206" s="16">
        <v>17.397600000000001</v>
      </c>
      <c r="D206" s="16">
        <v>17.8066</v>
      </c>
      <c r="E206" s="16">
        <v>28.1173</v>
      </c>
      <c r="F206" s="16">
        <v>16.391500000000001</v>
      </c>
      <c r="G206" s="29">
        <f t="shared" si="24"/>
        <v>15.518737739463592</v>
      </c>
      <c r="H206" s="17">
        <f t="shared" si="25"/>
        <v>18.188893048271389</v>
      </c>
      <c r="I206" s="17">
        <f t="shared" si="26"/>
        <v>12.848582430655794</v>
      </c>
      <c r="J206" s="17">
        <f t="shared" si="27"/>
        <v>20.859048357079189</v>
      </c>
      <c r="K206" s="17">
        <f t="shared" si="28"/>
        <v>10.178427121847996</v>
      </c>
      <c r="L206" s="17">
        <f t="shared" si="29"/>
        <v>1.8728731785902186</v>
      </c>
      <c r="M206" s="11">
        <f t="shared" si="30"/>
        <v>0.17945003908585089</v>
      </c>
    </row>
    <row r="207" spans="1:13" x14ac:dyDescent="0.2">
      <c r="A207" s="6">
        <v>44064</v>
      </c>
      <c r="B207" s="16">
        <v>20.749300000000002</v>
      </c>
      <c r="C207" s="16">
        <v>17.4678</v>
      </c>
      <c r="D207" s="16">
        <v>17.848600000000001</v>
      </c>
      <c r="E207" s="16">
        <v>28.413399999999999</v>
      </c>
      <c r="F207" s="16">
        <v>16.687899999999999</v>
      </c>
      <c r="G207" s="29">
        <f t="shared" si="24"/>
        <v>15.518737739463592</v>
      </c>
      <c r="H207" s="17">
        <f t="shared" si="25"/>
        <v>18.188893048271389</v>
      </c>
      <c r="I207" s="17">
        <f t="shared" si="26"/>
        <v>12.848582430655794</v>
      </c>
      <c r="J207" s="17">
        <f t="shared" si="27"/>
        <v>20.859048357079189</v>
      </c>
      <c r="K207" s="17">
        <f t="shared" si="28"/>
        <v>10.178427121847996</v>
      </c>
      <c r="L207" s="17">
        <f t="shared" si="29"/>
        <v>1.9588981372292575</v>
      </c>
      <c r="M207" s="11">
        <f t="shared" si="30"/>
        <v>0.18785994801864003</v>
      </c>
    </row>
    <row r="208" spans="1:13" x14ac:dyDescent="0.2">
      <c r="A208" s="6">
        <v>44071</v>
      </c>
      <c r="B208" s="16">
        <v>21.133900000000001</v>
      </c>
      <c r="C208" s="16">
        <v>18.000299999999999</v>
      </c>
      <c r="D208" s="16">
        <v>18.349499999999999</v>
      </c>
      <c r="E208" s="16">
        <v>28.794799999999999</v>
      </c>
      <c r="F208" s="16">
        <v>17.3779</v>
      </c>
      <c r="G208" s="29">
        <f t="shared" si="24"/>
        <v>15.518737739463592</v>
      </c>
      <c r="H208" s="17">
        <f t="shared" si="25"/>
        <v>18.188893048271389</v>
      </c>
      <c r="I208" s="17">
        <f t="shared" si="26"/>
        <v>12.848582430655794</v>
      </c>
      <c r="J208" s="17">
        <f t="shared" si="27"/>
        <v>20.859048357079189</v>
      </c>
      <c r="K208" s="17">
        <f t="shared" si="28"/>
        <v>10.178427121847996</v>
      </c>
      <c r="L208" s="17">
        <f t="shared" si="29"/>
        <v>2.1029347027171728</v>
      </c>
      <c r="M208" s="11">
        <f t="shared" si="30"/>
        <v>0.17408598745576476</v>
      </c>
    </row>
    <row r="209" spans="1:13" x14ac:dyDescent="0.2">
      <c r="A209" s="6">
        <v>44078</v>
      </c>
      <c r="B209" s="16">
        <v>20.571400000000001</v>
      </c>
      <c r="C209" s="16">
        <v>17.8261</v>
      </c>
      <c r="D209" s="16">
        <v>18.1616</v>
      </c>
      <c r="E209" s="16">
        <v>27.819900000000001</v>
      </c>
      <c r="F209" s="16">
        <v>17.1783</v>
      </c>
      <c r="G209" s="29">
        <f t="shared" si="24"/>
        <v>15.518737739463592</v>
      </c>
      <c r="H209" s="17">
        <f t="shared" si="25"/>
        <v>18.188893048271389</v>
      </c>
      <c r="I209" s="17">
        <f t="shared" si="26"/>
        <v>12.848582430655794</v>
      </c>
      <c r="J209" s="17">
        <f t="shared" si="27"/>
        <v>20.859048357079189</v>
      </c>
      <c r="K209" s="17">
        <f t="shared" si="28"/>
        <v>10.178427121847996</v>
      </c>
      <c r="L209" s="17">
        <f t="shared" si="29"/>
        <v>1.8922727992149562</v>
      </c>
      <c r="M209" s="11">
        <f t="shared" si="30"/>
        <v>0.15400452146010624</v>
      </c>
    </row>
    <row r="210" spans="1:13" x14ac:dyDescent="0.2">
      <c r="A210" s="6">
        <v>44085</v>
      </c>
      <c r="B210" s="16">
        <v>19.157800000000002</v>
      </c>
      <c r="C210" s="16">
        <v>17.704000000000001</v>
      </c>
      <c r="D210" s="16">
        <v>18.012599999999999</v>
      </c>
      <c r="E210" s="16">
        <v>28.566700000000001</v>
      </c>
      <c r="F210" s="16">
        <v>16.7608</v>
      </c>
      <c r="G210" s="29">
        <f t="shared" si="24"/>
        <v>15.518737739463592</v>
      </c>
      <c r="H210" s="17">
        <f t="shared" si="25"/>
        <v>18.188893048271389</v>
      </c>
      <c r="I210" s="17">
        <f t="shared" si="26"/>
        <v>12.848582430655794</v>
      </c>
      <c r="J210" s="17">
        <f t="shared" si="27"/>
        <v>20.859048357079189</v>
      </c>
      <c r="K210" s="17">
        <f t="shared" si="28"/>
        <v>10.178427121847996</v>
      </c>
      <c r="L210" s="17">
        <f t="shared" si="29"/>
        <v>1.3628653915869859</v>
      </c>
      <c r="M210" s="11">
        <f t="shared" si="30"/>
        <v>8.2117035698147323E-2</v>
      </c>
    </row>
    <row r="211" spans="1:13" x14ac:dyDescent="0.2">
      <c r="A211" s="6">
        <v>44092</v>
      </c>
      <c r="B211" s="16">
        <v>19.135999999999999</v>
      </c>
      <c r="C211" s="16">
        <v>17.9146</v>
      </c>
      <c r="D211" s="16">
        <v>18.229299999999999</v>
      </c>
      <c r="E211" s="16">
        <v>28.869499999999999</v>
      </c>
      <c r="F211" s="16">
        <v>17.000299999999999</v>
      </c>
      <c r="G211" s="29">
        <f t="shared" si="24"/>
        <v>15.518737739463592</v>
      </c>
      <c r="H211" s="17">
        <f t="shared" si="25"/>
        <v>18.188893048271389</v>
      </c>
      <c r="I211" s="17">
        <f t="shared" si="26"/>
        <v>12.848582430655794</v>
      </c>
      <c r="J211" s="17">
        <f t="shared" si="27"/>
        <v>20.859048357079189</v>
      </c>
      <c r="K211" s="17">
        <f t="shared" si="28"/>
        <v>10.178427121847996</v>
      </c>
      <c r="L211" s="17">
        <f t="shared" si="29"/>
        <v>1.3547010724823658</v>
      </c>
      <c r="M211" s="11">
        <f t="shared" si="30"/>
        <v>6.8179027162202921E-2</v>
      </c>
    </row>
    <row r="212" spans="1:13" x14ac:dyDescent="0.2">
      <c r="A212" s="6">
        <v>44099</v>
      </c>
      <c r="B212" s="16">
        <v>18.481300000000001</v>
      </c>
      <c r="C212" s="16">
        <v>17.1494</v>
      </c>
      <c r="D212" s="16">
        <v>17.491599999999998</v>
      </c>
      <c r="E212" s="16">
        <v>27.338799999999999</v>
      </c>
      <c r="F212" s="16">
        <v>16.4131</v>
      </c>
      <c r="G212" s="29">
        <f t="shared" si="24"/>
        <v>15.518737739463592</v>
      </c>
      <c r="H212" s="17">
        <f t="shared" si="25"/>
        <v>18.188893048271389</v>
      </c>
      <c r="I212" s="17">
        <f t="shared" si="26"/>
        <v>12.848582430655794</v>
      </c>
      <c r="J212" s="17">
        <f t="shared" si="27"/>
        <v>20.859048357079189</v>
      </c>
      <c r="K212" s="17">
        <f t="shared" si="28"/>
        <v>10.178427121847996</v>
      </c>
      <c r="L212" s="17">
        <f t="shared" si="29"/>
        <v>1.1095093423083198</v>
      </c>
      <c r="M212" s="11">
        <f t="shared" si="30"/>
        <v>7.7664524706403837E-2</v>
      </c>
    </row>
    <row r="213" spans="1:13" x14ac:dyDescent="0.2">
      <c r="A213" s="6">
        <v>44106</v>
      </c>
      <c r="B213" s="16">
        <v>18.203099999999999</v>
      </c>
      <c r="C213" s="16">
        <v>17.547799999999999</v>
      </c>
      <c r="D213" s="16">
        <v>17.882400000000001</v>
      </c>
      <c r="E213" s="16">
        <v>28.119399999999999</v>
      </c>
      <c r="F213" s="16">
        <v>16.8171</v>
      </c>
      <c r="G213" s="29">
        <f t="shared" si="24"/>
        <v>15.518737739463592</v>
      </c>
      <c r="H213" s="17">
        <f t="shared" si="25"/>
        <v>18.188893048271389</v>
      </c>
      <c r="I213" s="17">
        <f t="shared" si="26"/>
        <v>12.848582430655794</v>
      </c>
      <c r="J213" s="17">
        <f t="shared" si="27"/>
        <v>20.859048357079189</v>
      </c>
      <c r="K213" s="17">
        <f t="shared" si="28"/>
        <v>10.178427121847996</v>
      </c>
      <c r="L213" s="17">
        <f t="shared" si="29"/>
        <v>1.0053206462117561</v>
      </c>
      <c r="M213" s="11">
        <f t="shared" si="30"/>
        <v>3.7343712602149637E-2</v>
      </c>
    </row>
    <row r="214" spans="1:13" x14ac:dyDescent="0.2">
      <c r="A214" s="6">
        <v>44113</v>
      </c>
      <c r="B214" s="16">
        <v>18.755299999999998</v>
      </c>
      <c r="C214" s="16">
        <v>18.110299999999999</v>
      </c>
      <c r="D214" s="16">
        <v>18.416699999999999</v>
      </c>
      <c r="E214" s="16">
        <v>29.752099999999999</v>
      </c>
      <c r="F214" s="16">
        <v>17.415500000000002</v>
      </c>
      <c r="G214" s="29">
        <f t="shared" si="24"/>
        <v>15.518737739463592</v>
      </c>
      <c r="H214" s="17">
        <f t="shared" si="25"/>
        <v>18.188893048271389</v>
      </c>
      <c r="I214" s="17">
        <f t="shared" si="26"/>
        <v>12.848582430655794</v>
      </c>
      <c r="J214" s="17">
        <f t="shared" si="27"/>
        <v>20.859048357079189</v>
      </c>
      <c r="K214" s="17">
        <f t="shared" si="28"/>
        <v>10.178427121847996</v>
      </c>
      <c r="L214" s="17">
        <f t="shared" si="29"/>
        <v>1.2121250961920651</v>
      </c>
      <c r="M214" s="11">
        <f t="shared" si="30"/>
        <v>3.5615091964241286E-2</v>
      </c>
    </row>
    <row r="215" spans="1:13" x14ac:dyDescent="0.2">
      <c r="A215" s="6">
        <v>44120</v>
      </c>
      <c r="B215" s="16">
        <v>18.9087</v>
      </c>
      <c r="C215" s="16">
        <v>18.042400000000001</v>
      </c>
      <c r="D215" s="16">
        <v>18.367699999999999</v>
      </c>
      <c r="E215" s="16">
        <v>29.1966</v>
      </c>
      <c r="F215" s="16">
        <v>17.797899999999998</v>
      </c>
      <c r="G215" s="29">
        <f t="shared" si="24"/>
        <v>15.518737739463592</v>
      </c>
      <c r="H215" s="17">
        <f t="shared" si="25"/>
        <v>18.188893048271389</v>
      </c>
      <c r="I215" s="17">
        <f t="shared" si="26"/>
        <v>12.848582430655794</v>
      </c>
      <c r="J215" s="17">
        <f t="shared" si="27"/>
        <v>20.859048357079189</v>
      </c>
      <c r="K215" s="17">
        <f t="shared" si="28"/>
        <v>10.178427121847996</v>
      </c>
      <c r="L215" s="17">
        <f t="shared" si="29"/>
        <v>1.2695749379649368</v>
      </c>
      <c r="M215" s="11">
        <f t="shared" si="30"/>
        <v>4.801467653970648E-2</v>
      </c>
    </row>
    <row r="216" spans="1:13" x14ac:dyDescent="0.2">
      <c r="A216" s="6">
        <v>44127</v>
      </c>
      <c r="B216" s="16">
        <v>19.027699999999999</v>
      </c>
      <c r="C216" s="16">
        <v>18.149699999999999</v>
      </c>
      <c r="D216" s="16">
        <v>18.474299999999999</v>
      </c>
      <c r="E216" s="16">
        <v>29.321899999999999</v>
      </c>
      <c r="F216" s="16">
        <v>17.805299999999999</v>
      </c>
      <c r="G216" s="29">
        <f t="shared" si="24"/>
        <v>15.518737739463592</v>
      </c>
      <c r="H216" s="17">
        <f t="shared" si="25"/>
        <v>18.188893048271389</v>
      </c>
      <c r="I216" s="17">
        <f t="shared" si="26"/>
        <v>12.848582430655794</v>
      </c>
      <c r="J216" s="17">
        <f t="shared" si="27"/>
        <v>20.859048357079189</v>
      </c>
      <c r="K216" s="17">
        <f t="shared" si="28"/>
        <v>10.178427121847996</v>
      </c>
      <c r="L216" s="17">
        <f t="shared" si="29"/>
        <v>1.3141416339947389</v>
      </c>
      <c r="M216" s="11">
        <f t="shared" si="30"/>
        <v>4.8375455241684406E-2</v>
      </c>
    </row>
    <row r="217" spans="1:13" x14ac:dyDescent="0.2">
      <c r="A217" s="6">
        <v>44134</v>
      </c>
      <c r="B217" s="16">
        <v>18.923200000000001</v>
      </c>
      <c r="C217" s="16">
        <v>17.5732</v>
      </c>
      <c r="D217" s="16">
        <v>18.012599999999999</v>
      </c>
      <c r="E217" s="16">
        <v>28.498799999999999</v>
      </c>
      <c r="F217" s="16">
        <v>17.652899999999999</v>
      </c>
      <c r="G217" s="29">
        <f t="shared" si="24"/>
        <v>15.518737739463592</v>
      </c>
      <c r="H217" s="17">
        <f t="shared" si="25"/>
        <v>18.188893048271389</v>
      </c>
      <c r="I217" s="17">
        <f t="shared" si="26"/>
        <v>12.848582430655794</v>
      </c>
      <c r="J217" s="17">
        <f t="shared" si="27"/>
        <v>20.859048357079189</v>
      </c>
      <c r="K217" s="17">
        <f t="shared" si="28"/>
        <v>10.178427121847996</v>
      </c>
      <c r="L217" s="17">
        <f t="shared" si="29"/>
        <v>1.2750053336996614</v>
      </c>
      <c r="M217" s="11">
        <f t="shared" si="30"/>
        <v>7.6821523683791249E-2</v>
      </c>
    </row>
    <row r="218" spans="1:13" x14ac:dyDescent="0.2">
      <c r="A218" s="6">
        <v>44141</v>
      </c>
      <c r="B218" s="16">
        <v>20.447600000000001</v>
      </c>
      <c r="C218" s="16">
        <v>18.6844</v>
      </c>
      <c r="D218" s="16">
        <v>19.0458</v>
      </c>
      <c r="E218" s="16">
        <v>28.777799999999999</v>
      </c>
      <c r="F218" s="16">
        <v>18.7302</v>
      </c>
      <c r="G218" s="29">
        <f t="shared" si="24"/>
        <v>15.518737739463592</v>
      </c>
      <c r="H218" s="17">
        <f t="shared" si="25"/>
        <v>18.188893048271389</v>
      </c>
      <c r="I218" s="17">
        <f t="shared" si="26"/>
        <v>12.848582430655794</v>
      </c>
      <c r="J218" s="17">
        <f t="shared" si="27"/>
        <v>20.859048357079189</v>
      </c>
      <c r="K218" s="17">
        <f t="shared" si="28"/>
        <v>10.178427121847996</v>
      </c>
      <c r="L218" s="17">
        <f t="shared" si="29"/>
        <v>1.8459084549419353</v>
      </c>
      <c r="M218" s="11">
        <f t="shared" si="30"/>
        <v>9.4367493738091834E-2</v>
      </c>
    </row>
    <row r="219" spans="1:13" x14ac:dyDescent="0.2">
      <c r="A219" s="6">
        <v>44148</v>
      </c>
      <c r="B219" s="16">
        <v>21.128399999999999</v>
      </c>
      <c r="C219" s="16">
        <v>18.665400000000002</v>
      </c>
      <c r="D219" s="16">
        <v>19.070599999999999</v>
      </c>
      <c r="E219" s="16">
        <v>29.4176</v>
      </c>
      <c r="F219" s="16">
        <v>18.273299999999999</v>
      </c>
      <c r="G219" s="29">
        <f t="shared" si="24"/>
        <v>15.518737739463592</v>
      </c>
      <c r="H219" s="17">
        <f t="shared" si="25"/>
        <v>18.188893048271389</v>
      </c>
      <c r="I219" s="17">
        <f t="shared" si="26"/>
        <v>12.848582430655794</v>
      </c>
      <c r="J219" s="17">
        <f t="shared" si="27"/>
        <v>20.859048357079189</v>
      </c>
      <c r="K219" s="17">
        <f t="shared" si="28"/>
        <v>10.178427121847996</v>
      </c>
      <c r="L219" s="17">
        <f t="shared" si="29"/>
        <v>2.1008748974384841</v>
      </c>
      <c r="M219" s="11">
        <f t="shared" si="30"/>
        <v>0.13195538268668217</v>
      </c>
    </row>
    <row r="220" spans="1:13" x14ac:dyDescent="0.2">
      <c r="A220" s="6">
        <v>44155</v>
      </c>
      <c r="B220" s="16">
        <v>21.3504</v>
      </c>
      <c r="C220" s="16">
        <v>18.8003</v>
      </c>
      <c r="D220" s="16">
        <v>19.282399999999999</v>
      </c>
      <c r="E220" s="16">
        <v>29.1297</v>
      </c>
      <c r="F220" s="16">
        <v>18.267700000000001</v>
      </c>
      <c r="G220" s="29">
        <f t="shared" si="24"/>
        <v>15.518737739463592</v>
      </c>
      <c r="H220" s="17">
        <f t="shared" si="25"/>
        <v>18.188893048271389</v>
      </c>
      <c r="I220" s="17">
        <f t="shared" si="26"/>
        <v>12.848582430655794</v>
      </c>
      <c r="J220" s="17">
        <f t="shared" si="27"/>
        <v>20.859048357079189</v>
      </c>
      <c r="K220" s="17">
        <f t="shared" si="28"/>
        <v>10.178427121847996</v>
      </c>
      <c r="L220" s="17">
        <f t="shared" si="29"/>
        <v>2.1840161286873592</v>
      </c>
      <c r="M220" s="11">
        <f t="shared" si="30"/>
        <v>0.13564145253001292</v>
      </c>
    </row>
    <row r="221" spans="1:13" x14ac:dyDescent="0.2">
      <c r="A221" s="6">
        <v>44162</v>
      </c>
      <c r="B221" s="16">
        <v>21.861799999999999</v>
      </c>
      <c r="C221" s="16">
        <v>19.006599999999999</v>
      </c>
      <c r="D221" s="16">
        <v>19.479299999999999</v>
      </c>
      <c r="E221" s="16">
        <v>29.136199999999999</v>
      </c>
      <c r="F221" s="16">
        <v>18.438700000000001</v>
      </c>
      <c r="G221" s="29">
        <f t="shared" si="24"/>
        <v>15.518737739463592</v>
      </c>
      <c r="H221" s="17">
        <f t="shared" si="25"/>
        <v>18.188893048271389</v>
      </c>
      <c r="I221" s="17">
        <f t="shared" si="26"/>
        <v>12.848582430655794</v>
      </c>
      <c r="J221" s="17">
        <f t="shared" si="27"/>
        <v>20.859048357079189</v>
      </c>
      <c r="K221" s="17">
        <f t="shared" si="28"/>
        <v>10.178427121847996</v>
      </c>
      <c r="L221" s="17">
        <f t="shared" si="29"/>
        <v>2.3755405686003073</v>
      </c>
      <c r="M221" s="11">
        <f t="shared" si="30"/>
        <v>0.15022150200456674</v>
      </c>
    </row>
    <row r="222" spans="1:13" x14ac:dyDescent="0.2">
      <c r="A222" s="6">
        <v>44169</v>
      </c>
      <c r="B222" s="16">
        <v>22.003</v>
      </c>
      <c r="C222" s="16">
        <v>19.610499999999998</v>
      </c>
      <c r="D222" s="16">
        <v>19.786200000000001</v>
      </c>
      <c r="E222" s="16">
        <v>30.4663</v>
      </c>
      <c r="F222" s="16">
        <v>18.5304</v>
      </c>
      <c r="G222" s="29">
        <f t="shared" si="24"/>
        <v>15.518737739463592</v>
      </c>
      <c r="H222" s="17">
        <f t="shared" si="25"/>
        <v>18.188893048271389</v>
      </c>
      <c r="I222" s="17">
        <f t="shared" si="26"/>
        <v>12.848582430655794</v>
      </c>
      <c r="J222" s="17">
        <f t="shared" si="27"/>
        <v>20.859048357079189</v>
      </c>
      <c r="K222" s="17">
        <f t="shared" si="28"/>
        <v>10.178427121847996</v>
      </c>
      <c r="L222" s="17">
        <f t="shared" si="29"/>
        <v>2.4284213877549976</v>
      </c>
      <c r="M222" s="11">
        <f t="shared" si="30"/>
        <v>0.12200096886871847</v>
      </c>
    </row>
    <row r="223" spans="1:13" x14ac:dyDescent="0.2">
      <c r="A223" s="6">
        <v>44176</v>
      </c>
      <c r="B223" s="16">
        <v>22.422999999999998</v>
      </c>
      <c r="C223" s="16">
        <v>19.570699999999999</v>
      </c>
      <c r="D223" s="16">
        <v>19.851600000000001</v>
      </c>
      <c r="E223" s="16">
        <v>31.005299999999998</v>
      </c>
      <c r="F223" s="16">
        <v>18.375399999999999</v>
      </c>
      <c r="G223" s="29">
        <f t="shared" si="24"/>
        <v>15.518737739463592</v>
      </c>
      <c r="H223" s="17">
        <f t="shared" si="25"/>
        <v>18.188893048271389</v>
      </c>
      <c r="I223" s="17">
        <f t="shared" si="26"/>
        <v>12.848582430655794</v>
      </c>
      <c r="J223" s="17">
        <f t="shared" si="27"/>
        <v>20.859048357079189</v>
      </c>
      <c r="K223" s="17">
        <f t="shared" si="28"/>
        <v>10.178427121847996</v>
      </c>
      <c r="L223" s="17">
        <f t="shared" si="29"/>
        <v>2.5857156090366522</v>
      </c>
      <c r="M223" s="11">
        <f t="shared" si="30"/>
        <v>0.14574338168793144</v>
      </c>
    </row>
    <row r="224" spans="1:13" x14ac:dyDescent="0.2">
      <c r="A224" s="6">
        <v>44183</v>
      </c>
      <c r="B224" s="16">
        <v>22.989799999999999</v>
      </c>
      <c r="C224" s="16">
        <v>19.761800000000001</v>
      </c>
      <c r="D224" s="16">
        <v>20.0306</v>
      </c>
      <c r="E224" s="16">
        <v>31.567599999999999</v>
      </c>
      <c r="F224" s="16">
        <v>18.749400000000001</v>
      </c>
      <c r="G224" s="29">
        <f t="shared" si="24"/>
        <v>15.518737739463592</v>
      </c>
      <c r="H224" s="17">
        <f t="shared" si="25"/>
        <v>18.188893048271389</v>
      </c>
      <c r="I224" s="17">
        <f t="shared" si="26"/>
        <v>12.848582430655794</v>
      </c>
      <c r="J224" s="17">
        <f t="shared" si="27"/>
        <v>20.859048357079189</v>
      </c>
      <c r="K224" s="17">
        <f t="shared" si="28"/>
        <v>10.178427121847996</v>
      </c>
      <c r="L224" s="17">
        <f t="shared" si="29"/>
        <v>2.7979879057567527</v>
      </c>
      <c r="M224" s="11">
        <f t="shared" si="30"/>
        <v>0.16334544424090902</v>
      </c>
    </row>
    <row r="225" spans="1:13" x14ac:dyDescent="0.2">
      <c r="A225" s="6">
        <v>44190</v>
      </c>
      <c r="B225" s="16">
        <v>22.363900000000001</v>
      </c>
      <c r="C225" s="16">
        <v>19.567399999999999</v>
      </c>
      <c r="D225" s="16">
        <v>19.882200000000001</v>
      </c>
      <c r="E225" s="16">
        <v>31.554200000000002</v>
      </c>
      <c r="F225" s="16">
        <v>18.280999999999999</v>
      </c>
      <c r="G225" s="29">
        <f t="shared" si="24"/>
        <v>15.518737739463592</v>
      </c>
      <c r="H225" s="17">
        <f t="shared" si="25"/>
        <v>18.188893048271389</v>
      </c>
      <c r="I225" s="17">
        <f t="shared" si="26"/>
        <v>12.848582430655794</v>
      </c>
      <c r="J225" s="17">
        <f t="shared" si="27"/>
        <v>20.859048357079189</v>
      </c>
      <c r="K225" s="17">
        <f t="shared" si="28"/>
        <v>10.178427121847996</v>
      </c>
      <c r="L225" s="17">
        <f t="shared" si="29"/>
        <v>2.56358206504202</v>
      </c>
      <c r="M225" s="11">
        <f t="shared" si="30"/>
        <v>0.14291627911730753</v>
      </c>
    </row>
    <row r="226" spans="1:13" x14ac:dyDescent="0.2">
      <c r="A226" s="6">
        <v>44197</v>
      </c>
      <c r="B226" s="16">
        <v>22.257000000000001</v>
      </c>
      <c r="C226" s="16">
        <v>20.158799999999999</v>
      </c>
      <c r="D226" s="16">
        <v>20.5349</v>
      </c>
      <c r="E226" s="16">
        <v>32.192300000000003</v>
      </c>
      <c r="F226" s="16">
        <v>19.023099999999999</v>
      </c>
      <c r="G226" s="29">
        <f t="shared" si="24"/>
        <v>15.518737739463592</v>
      </c>
      <c r="H226" s="17">
        <f t="shared" si="25"/>
        <v>18.188893048271389</v>
      </c>
      <c r="I226" s="17">
        <f t="shared" si="26"/>
        <v>12.848582430655794</v>
      </c>
      <c r="J226" s="17">
        <f t="shared" si="27"/>
        <v>20.859048357079189</v>
      </c>
      <c r="K226" s="17">
        <f t="shared" si="28"/>
        <v>10.178427121847996</v>
      </c>
      <c r="L226" s="17">
        <f t="shared" si="29"/>
        <v>2.5235469406253324</v>
      </c>
      <c r="M226" s="11">
        <f t="shared" si="30"/>
        <v>0.10408357640335741</v>
      </c>
    </row>
    <row r="227" spans="1:13" x14ac:dyDescent="0.2">
      <c r="A227" s="6">
        <v>44204</v>
      </c>
      <c r="B227" s="16">
        <v>23.235600000000002</v>
      </c>
      <c r="C227" s="16">
        <v>21.150500000000001</v>
      </c>
      <c r="D227" s="16">
        <v>21.6358</v>
      </c>
      <c r="E227" s="16">
        <v>32.559399999999997</v>
      </c>
      <c r="F227" s="16">
        <v>19.7943</v>
      </c>
      <c r="G227" s="29">
        <f t="shared" si="24"/>
        <v>15.518737739463592</v>
      </c>
      <c r="H227" s="17">
        <f t="shared" si="25"/>
        <v>18.188893048271389</v>
      </c>
      <c r="I227" s="17">
        <f t="shared" si="26"/>
        <v>12.848582430655794</v>
      </c>
      <c r="J227" s="17">
        <f t="shared" si="27"/>
        <v>20.859048357079189</v>
      </c>
      <c r="K227" s="17">
        <f t="shared" si="28"/>
        <v>10.178427121847996</v>
      </c>
      <c r="L227" s="17">
        <f t="shared" si="29"/>
        <v>2.8900424762115891</v>
      </c>
      <c r="M227" s="11">
        <f t="shared" si="30"/>
        <v>9.8583957826056112E-2</v>
      </c>
    </row>
    <row r="228" spans="1:13" x14ac:dyDescent="0.2">
      <c r="A228" s="6">
        <v>44211</v>
      </c>
      <c r="B228" s="16">
        <v>23.386199999999999</v>
      </c>
      <c r="C228" s="16">
        <v>21.176200000000001</v>
      </c>
      <c r="D228" s="16">
        <v>21.7469</v>
      </c>
      <c r="E228" s="16">
        <v>32.164900000000003</v>
      </c>
      <c r="F228" s="16">
        <v>20.096299999999999</v>
      </c>
      <c r="G228" s="29">
        <f t="shared" si="24"/>
        <v>15.518737739463592</v>
      </c>
      <c r="H228" s="17">
        <f t="shared" si="25"/>
        <v>18.188893048271389</v>
      </c>
      <c r="I228" s="17">
        <f t="shared" si="26"/>
        <v>12.848582430655794</v>
      </c>
      <c r="J228" s="17">
        <f t="shared" si="27"/>
        <v>20.859048357079189</v>
      </c>
      <c r="K228" s="17">
        <f t="shared" si="28"/>
        <v>10.178427121847996</v>
      </c>
      <c r="L228" s="17">
        <f t="shared" si="29"/>
        <v>2.9464436898425812</v>
      </c>
      <c r="M228" s="11">
        <f t="shared" si="30"/>
        <v>0.10436244463123678</v>
      </c>
    </row>
    <row r="229" spans="1:13" x14ac:dyDescent="0.2">
      <c r="A229" s="6">
        <v>44218</v>
      </c>
      <c r="B229" s="16">
        <v>23.5303</v>
      </c>
      <c r="C229" s="16">
        <v>21.779800000000002</v>
      </c>
      <c r="D229" s="16">
        <v>22.519200000000001</v>
      </c>
      <c r="E229" s="16">
        <v>33.086199999999998</v>
      </c>
      <c r="F229" s="16">
        <v>21.283899999999999</v>
      </c>
      <c r="G229" s="29">
        <f t="shared" si="24"/>
        <v>15.518737739463592</v>
      </c>
      <c r="H229" s="17">
        <f t="shared" si="25"/>
        <v>18.188893048271389</v>
      </c>
      <c r="I229" s="17">
        <f t="shared" si="26"/>
        <v>12.848582430655794</v>
      </c>
      <c r="J229" s="17">
        <f t="shared" si="27"/>
        <v>20.859048357079189</v>
      </c>
      <c r="K229" s="17">
        <f t="shared" si="28"/>
        <v>10.178427121847996</v>
      </c>
      <c r="L229" s="17">
        <f t="shared" si="29"/>
        <v>3.0004105881442165</v>
      </c>
      <c r="M229" s="11">
        <f t="shared" si="30"/>
        <v>8.0372638867207247E-2</v>
      </c>
    </row>
    <row r="230" spans="1:13" x14ac:dyDescent="0.2">
      <c r="A230" s="6">
        <v>44225</v>
      </c>
      <c r="B230" s="16">
        <v>21.755500000000001</v>
      </c>
      <c r="C230" s="16">
        <v>20.902100000000001</v>
      </c>
      <c r="D230" s="16">
        <v>21.639199999999999</v>
      </c>
      <c r="E230" s="16">
        <v>31.040500000000002</v>
      </c>
      <c r="F230" s="16">
        <v>20.447299999999998</v>
      </c>
      <c r="G230" s="29">
        <f t="shared" si="24"/>
        <v>15.518737739463592</v>
      </c>
      <c r="H230" s="17">
        <f t="shared" si="25"/>
        <v>18.188893048271389</v>
      </c>
      <c r="I230" s="17">
        <f t="shared" si="26"/>
        <v>12.848582430655794</v>
      </c>
      <c r="J230" s="17">
        <f t="shared" si="27"/>
        <v>20.859048357079189</v>
      </c>
      <c r="K230" s="17">
        <f t="shared" si="28"/>
        <v>10.178427121847996</v>
      </c>
      <c r="L230" s="17">
        <f t="shared" si="29"/>
        <v>2.3357301502140229</v>
      </c>
      <c r="M230" s="11">
        <f t="shared" si="30"/>
        <v>4.0828433506681083E-2</v>
      </c>
    </row>
    <row r="231" spans="1:13" x14ac:dyDescent="0.2">
      <c r="A231" s="6">
        <v>44232</v>
      </c>
      <c r="B231" s="16">
        <v>22.799399999999999</v>
      </c>
      <c r="C231" s="16">
        <v>21.302399999999999</v>
      </c>
      <c r="D231" s="16">
        <v>21.964099999999998</v>
      </c>
      <c r="E231" s="16">
        <v>22.352399999999999</v>
      </c>
      <c r="F231" s="16">
        <v>20.3721</v>
      </c>
      <c r="G231" s="29">
        <f t="shared" si="24"/>
        <v>15.518737739463592</v>
      </c>
      <c r="H231" s="17">
        <f t="shared" si="25"/>
        <v>18.188893048271389</v>
      </c>
      <c r="I231" s="17">
        <f t="shared" si="26"/>
        <v>12.848582430655794</v>
      </c>
      <c r="J231" s="17">
        <f t="shared" si="27"/>
        <v>20.859048357079189</v>
      </c>
      <c r="K231" s="17">
        <f t="shared" si="28"/>
        <v>10.178427121847996</v>
      </c>
      <c r="L231" s="17">
        <f t="shared" si="29"/>
        <v>2.7266811921090688</v>
      </c>
      <c r="M231" s="11">
        <f t="shared" si="30"/>
        <v>7.0273771969355581E-2</v>
      </c>
    </row>
    <row r="232" spans="1:13" x14ac:dyDescent="0.2">
      <c r="A232" s="6">
        <v>44239</v>
      </c>
      <c r="B232" s="16">
        <v>22.503699999999998</v>
      </c>
      <c r="C232" s="16">
        <v>21.679200000000002</v>
      </c>
      <c r="D232" s="16">
        <v>22.532499999999999</v>
      </c>
      <c r="E232" s="16">
        <v>22.503499999999999</v>
      </c>
      <c r="F232" s="16">
        <v>21.236499999999999</v>
      </c>
      <c r="G232" s="29">
        <f t="shared" si="24"/>
        <v>15.518737739463592</v>
      </c>
      <c r="H232" s="17">
        <f t="shared" si="25"/>
        <v>18.188893048271389</v>
      </c>
      <c r="I232" s="17">
        <f t="shared" si="26"/>
        <v>12.848582430655794</v>
      </c>
      <c r="J232" s="17">
        <f t="shared" si="27"/>
        <v>20.859048357079189</v>
      </c>
      <c r="K232" s="17">
        <f t="shared" si="28"/>
        <v>10.178427121847996</v>
      </c>
      <c r="L232" s="17">
        <f t="shared" si="29"/>
        <v>2.61593857012577</v>
      </c>
      <c r="M232" s="11">
        <f t="shared" si="30"/>
        <v>3.8031846193586238E-2</v>
      </c>
    </row>
    <row r="233" spans="1:13" x14ac:dyDescent="0.2">
      <c r="A233" s="6">
        <v>44246</v>
      </c>
      <c r="B233" s="16">
        <v>22.404900000000001</v>
      </c>
      <c r="C233" s="16">
        <v>21.828199999999999</v>
      </c>
      <c r="D233" s="16">
        <v>22.691500000000001</v>
      </c>
      <c r="E233" s="16">
        <v>22.436699999999998</v>
      </c>
      <c r="F233" s="16">
        <v>21.264299999999999</v>
      </c>
      <c r="G233" s="29">
        <f t="shared" si="24"/>
        <v>15.518737739463592</v>
      </c>
      <c r="H233" s="17">
        <f t="shared" si="25"/>
        <v>18.188893048271389</v>
      </c>
      <c r="I233" s="17">
        <f t="shared" si="26"/>
        <v>12.848582430655794</v>
      </c>
      <c r="J233" s="17">
        <f t="shared" si="27"/>
        <v>20.859048357079189</v>
      </c>
      <c r="K233" s="17">
        <f t="shared" si="28"/>
        <v>10.178427121847996</v>
      </c>
      <c r="L233" s="17">
        <f t="shared" si="29"/>
        <v>2.5789369771195152</v>
      </c>
      <c r="M233" s="11">
        <f t="shared" si="30"/>
        <v>2.6419952171961247E-2</v>
      </c>
    </row>
    <row r="234" spans="1:13" x14ac:dyDescent="0.2">
      <c r="A234" s="6">
        <v>44253</v>
      </c>
      <c r="B234" s="16">
        <v>22.2621</v>
      </c>
      <c r="C234" s="16">
        <v>19.909199999999998</v>
      </c>
      <c r="D234" s="16">
        <v>21.4603</v>
      </c>
      <c r="E234" s="16">
        <v>21.787500000000001</v>
      </c>
      <c r="F234" s="16">
        <v>19.271699999999999</v>
      </c>
      <c r="G234" s="29">
        <f t="shared" si="24"/>
        <v>15.518737739463592</v>
      </c>
      <c r="H234" s="17">
        <f t="shared" si="25"/>
        <v>18.188893048271389</v>
      </c>
      <c r="I234" s="17">
        <f t="shared" si="26"/>
        <v>12.848582430655794</v>
      </c>
      <c r="J234" s="17">
        <f t="shared" si="27"/>
        <v>20.859048357079189</v>
      </c>
      <c r="K234" s="17">
        <f t="shared" si="28"/>
        <v>10.178427121847996</v>
      </c>
      <c r="L234" s="17">
        <f t="shared" si="29"/>
        <v>2.525456941883752</v>
      </c>
      <c r="M234" s="11">
        <f t="shared" si="30"/>
        <v>0.1181815442107168</v>
      </c>
    </row>
    <row r="235" spans="1:13" x14ac:dyDescent="0.2">
      <c r="A235" s="6">
        <v>44260</v>
      </c>
      <c r="B235" s="16">
        <v>22.075299999999999</v>
      </c>
      <c r="C235" s="16">
        <v>19.976700000000001</v>
      </c>
      <c r="D235" s="16">
        <v>21.452100000000002</v>
      </c>
      <c r="E235" s="16">
        <v>22.6938</v>
      </c>
      <c r="F235" s="16">
        <v>19.005099999999999</v>
      </c>
      <c r="G235" s="29">
        <f t="shared" si="24"/>
        <v>15.518737739463592</v>
      </c>
      <c r="H235" s="17">
        <f t="shared" si="25"/>
        <v>18.188893048271389</v>
      </c>
      <c r="I235" s="17">
        <f t="shared" si="26"/>
        <v>12.848582430655794</v>
      </c>
      <c r="J235" s="17">
        <f t="shared" si="27"/>
        <v>20.859048357079189</v>
      </c>
      <c r="K235" s="17">
        <f t="shared" si="28"/>
        <v>10.178427121847996</v>
      </c>
      <c r="L235" s="17">
        <f t="shared" si="29"/>
        <v>2.4554984644184819</v>
      </c>
      <c r="M235" s="11">
        <f t="shared" si="30"/>
        <v>0.10505238602972455</v>
      </c>
    </row>
    <row r="236" spans="1:13" x14ac:dyDescent="0.2">
      <c r="A236" s="6">
        <v>44267</v>
      </c>
      <c r="B236" s="16">
        <v>22.221599999999999</v>
      </c>
      <c r="C236" s="16">
        <v>20.3523</v>
      </c>
      <c r="D236" s="16">
        <v>21.7639</v>
      </c>
      <c r="E236" s="16">
        <v>22.691500000000001</v>
      </c>
      <c r="F236" s="16">
        <v>18.982099999999999</v>
      </c>
      <c r="G236" s="29">
        <f t="shared" si="24"/>
        <v>15.518737739463592</v>
      </c>
      <c r="H236" s="17">
        <f t="shared" si="25"/>
        <v>18.188893048271389</v>
      </c>
      <c r="I236" s="17">
        <f t="shared" si="26"/>
        <v>12.848582430655794</v>
      </c>
      <c r="J236" s="17">
        <f t="shared" si="27"/>
        <v>20.859048357079189</v>
      </c>
      <c r="K236" s="17">
        <f t="shared" si="28"/>
        <v>10.178427121847996</v>
      </c>
      <c r="L236" s="17">
        <f t="shared" si="29"/>
        <v>2.5102892848315919</v>
      </c>
      <c r="M236" s="11">
        <f t="shared" si="30"/>
        <v>9.1847113102695888E-2</v>
      </c>
    </row>
    <row r="237" spans="1:13" x14ac:dyDescent="0.2">
      <c r="A237" s="6">
        <v>44274</v>
      </c>
      <c r="B237" s="16">
        <v>22.379200000000001</v>
      </c>
      <c r="C237" s="16">
        <v>20.550999999999998</v>
      </c>
      <c r="D237" s="16">
        <v>21.9939</v>
      </c>
      <c r="E237" s="16">
        <v>22.2425</v>
      </c>
      <c r="F237" s="16">
        <v>19.306699999999999</v>
      </c>
      <c r="G237" s="29">
        <f t="shared" si="24"/>
        <v>15.518737739463592</v>
      </c>
      <c r="H237" s="17">
        <f t="shared" si="25"/>
        <v>18.188893048271389</v>
      </c>
      <c r="I237" s="17">
        <f t="shared" si="26"/>
        <v>12.848582430655794</v>
      </c>
      <c r="J237" s="17">
        <f t="shared" si="27"/>
        <v>20.859048357079189</v>
      </c>
      <c r="K237" s="17">
        <f t="shared" si="28"/>
        <v>10.178427121847996</v>
      </c>
      <c r="L237" s="17">
        <f t="shared" si="29"/>
        <v>2.5693120688172804</v>
      </c>
      <c r="M237" s="11">
        <f t="shared" si="30"/>
        <v>8.8959174736022772E-2</v>
      </c>
    </row>
    <row r="238" spans="1:13" x14ac:dyDescent="0.2">
      <c r="A238" s="6">
        <v>44281</v>
      </c>
      <c r="B238" s="16">
        <v>21.652100000000001</v>
      </c>
      <c r="C238" s="16">
        <v>14.974399999999999</v>
      </c>
      <c r="D238" s="16">
        <v>16.600899999999999</v>
      </c>
      <c r="E238" s="16">
        <v>21.861000000000001</v>
      </c>
      <c r="F238" s="16">
        <v>16.107399999999998</v>
      </c>
      <c r="G238" s="29">
        <f t="shared" si="24"/>
        <v>15.518737739463592</v>
      </c>
      <c r="H238" s="17">
        <f t="shared" si="25"/>
        <v>18.188893048271389</v>
      </c>
      <c r="I238" s="17">
        <f t="shared" si="26"/>
        <v>12.848582430655794</v>
      </c>
      <c r="J238" s="17">
        <f t="shared" si="27"/>
        <v>20.859048357079189</v>
      </c>
      <c r="K238" s="17">
        <f t="shared" si="28"/>
        <v>10.178427121847996</v>
      </c>
      <c r="L238" s="17">
        <f t="shared" si="29"/>
        <v>2.2970058109746816</v>
      </c>
      <c r="M238" s="11">
        <f t="shared" si="30"/>
        <v>0.44594107276418438</v>
      </c>
    </row>
    <row r="239" spans="1:13" x14ac:dyDescent="0.2">
      <c r="A239" s="6">
        <v>44288</v>
      </c>
      <c r="B239" s="16">
        <v>16.406500000000001</v>
      </c>
      <c r="C239" s="16">
        <v>15.3345</v>
      </c>
      <c r="D239" s="16">
        <v>17.004000000000001</v>
      </c>
      <c r="E239" s="16">
        <v>22.469000000000001</v>
      </c>
      <c r="F239" s="16">
        <v>16.766200000000001</v>
      </c>
      <c r="G239" s="29">
        <f t="shared" si="24"/>
        <v>15.518737739463592</v>
      </c>
      <c r="H239" s="17">
        <f t="shared" si="25"/>
        <v>18.188893048271389</v>
      </c>
      <c r="I239" s="17">
        <f t="shared" si="26"/>
        <v>12.848582430655794</v>
      </c>
      <c r="J239" s="17">
        <f t="shared" si="27"/>
        <v>20.859048357079189</v>
      </c>
      <c r="K239" s="17">
        <f t="shared" si="28"/>
        <v>10.178427121847996</v>
      </c>
      <c r="L239" s="17">
        <f t="shared" si="29"/>
        <v>0.33247588917694348</v>
      </c>
      <c r="M239" s="11">
        <f t="shared" si="30"/>
        <v>6.9907724412272998E-2</v>
      </c>
    </row>
    <row r="240" spans="1:13" x14ac:dyDescent="0.2">
      <c r="A240" s="6">
        <v>44295</v>
      </c>
      <c r="B240" s="16">
        <v>16.4925</v>
      </c>
      <c r="C240" s="16">
        <v>15.1805</v>
      </c>
      <c r="D240" s="16">
        <v>16.835899999999999</v>
      </c>
      <c r="E240" s="16">
        <v>22.545999999999999</v>
      </c>
      <c r="F240" s="16">
        <v>16.405999999999999</v>
      </c>
      <c r="G240" s="29">
        <f t="shared" si="24"/>
        <v>15.518737739463592</v>
      </c>
      <c r="H240" s="17">
        <f t="shared" si="25"/>
        <v>18.188893048271389</v>
      </c>
      <c r="I240" s="17">
        <f t="shared" si="26"/>
        <v>12.848582430655794</v>
      </c>
      <c r="J240" s="17">
        <f t="shared" si="27"/>
        <v>20.859048357079189</v>
      </c>
      <c r="K240" s="17">
        <f t="shared" si="28"/>
        <v>10.178427121847996</v>
      </c>
      <c r="L240" s="17">
        <f t="shared" si="29"/>
        <v>0.36468375353461518</v>
      </c>
      <c r="M240" s="11">
        <f t="shared" si="30"/>
        <v>8.642666578834679E-2</v>
      </c>
    </row>
    <row r="241" spans="1:13" x14ac:dyDescent="0.2">
      <c r="A241" s="6">
        <v>44302</v>
      </c>
      <c r="B241" s="16">
        <v>16.542400000000001</v>
      </c>
      <c r="C241" s="16">
        <v>15.262600000000001</v>
      </c>
      <c r="D241" s="16">
        <v>16.933700000000002</v>
      </c>
      <c r="E241" s="16">
        <v>21.527899999999999</v>
      </c>
      <c r="F241" s="16">
        <v>16.590599999999998</v>
      </c>
      <c r="G241" s="29">
        <f t="shared" si="24"/>
        <v>15.518737739463592</v>
      </c>
      <c r="H241" s="17">
        <f t="shared" si="25"/>
        <v>18.188893048271389</v>
      </c>
      <c r="I241" s="17">
        <f t="shared" si="26"/>
        <v>12.848582430655794</v>
      </c>
      <c r="J241" s="17">
        <f t="shared" si="27"/>
        <v>20.859048357079189</v>
      </c>
      <c r="K241" s="17">
        <f t="shared" si="28"/>
        <v>10.178427121847996</v>
      </c>
      <c r="L241" s="17">
        <f t="shared" si="29"/>
        <v>0.38337180506307883</v>
      </c>
      <c r="M241" s="11">
        <f t="shared" si="30"/>
        <v>8.3852030453526849E-2</v>
      </c>
    </row>
    <row r="242" spans="1:13" x14ac:dyDescent="0.2">
      <c r="A242" s="6">
        <v>44309</v>
      </c>
      <c r="B242" s="16">
        <v>16.4832</v>
      </c>
      <c r="C242" s="16">
        <v>15.170199999999999</v>
      </c>
      <c r="D242" s="16">
        <v>16.919699999999999</v>
      </c>
      <c r="E242" s="16">
        <v>21.0685</v>
      </c>
      <c r="F242" s="16">
        <v>16.852699999999999</v>
      </c>
      <c r="G242" s="29">
        <f t="shared" si="24"/>
        <v>15.518737739463592</v>
      </c>
      <c r="H242" s="17">
        <f t="shared" si="25"/>
        <v>18.188893048271389</v>
      </c>
      <c r="I242" s="17">
        <f t="shared" si="26"/>
        <v>12.848582430655794</v>
      </c>
      <c r="J242" s="17">
        <f t="shared" si="27"/>
        <v>20.859048357079189</v>
      </c>
      <c r="K242" s="17">
        <f t="shared" si="28"/>
        <v>10.178427121847996</v>
      </c>
      <c r="L242" s="17">
        <f t="shared" si="29"/>
        <v>0.36120081006337867</v>
      </c>
      <c r="M242" s="11">
        <f t="shared" si="30"/>
        <v>8.6551264980026632E-2</v>
      </c>
    </row>
    <row r="243" spans="1:13" x14ac:dyDescent="0.2">
      <c r="A243" s="6">
        <v>44316</v>
      </c>
      <c r="B243" s="16">
        <v>16.269100000000002</v>
      </c>
      <c r="C243" s="16">
        <v>14.862399999999999</v>
      </c>
      <c r="D243" s="16">
        <v>16.604199999999999</v>
      </c>
      <c r="E243" s="16">
        <v>21.538399999999999</v>
      </c>
      <c r="F243" s="16">
        <v>16.436199999999999</v>
      </c>
      <c r="G243" s="29">
        <f t="shared" si="24"/>
        <v>15.518737739463592</v>
      </c>
      <c r="H243" s="17">
        <f t="shared" si="25"/>
        <v>18.188893048271389</v>
      </c>
      <c r="I243" s="17">
        <f t="shared" si="26"/>
        <v>12.848582430655794</v>
      </c>
      <c r="J243" s="17">
        <f t="shared" si="27"/>
        <v>20.859048357079189</v>
      </c>
      <c r="K243" s="17">
        <f t="shared" si="28"/>
        <v>10.178427121847996</v>
      </c>
      <c r="L243" s="17">
        <f t="shared" si="29"/>
        <v>0.28101820821480217</v>
      </c>
      <c r="M243" s="11">
        <f t="shared" si="30"/>
        <v>9.4648239853590388E-2</v>
      </c>
    </row>
    <row r="244" spans="1:13" x14ac:dyDescent="0.2">
      <c r="A244" s="6">
        <v>44323</v>
      </c>
      <c r="B244" s="16">
        <v>16.0321</v>
      </c>
      <c r="C244" s="16">
        <v>14.7874</v>
      </c>
      <c r="D244" s="16">
        <v>16.443200000000001</v>
      </c>
      <c r="E244" s="16">
        <v>22.1355</v>
      </c>
      <c r="F244" s="16">
        <v>16.043299999999999</v>
      </c>
      <c r="G244" s="29">
        <f t="shared" si="24"/>
        <v>15.518737739463592</v>
      </c>
      <c r="H244" s="17">
        <f t="shared" si="25"/>
        <v>18.188893048271389</v>
      </c>
      <c r="I244" s="17">
        <f t="shared" si="26"/>
        <v>12.848582430655794</v>
      </c>
      <c r="J244" s="17">
        <f t="shared" si="27"/>
        <v>20.859048357079189</v>
      </c>
      <c r="K244" s="17">
        <f t="shared" si="28"/>
        <v>10.178427121847996</v>
      </c>
      <c r="L244" s="17">
        <f t="shared" si="29"/>
        <v>0.19225932620586753</v>
      </c>
      <c r="M244" s="11">
        <f t="shared" si="30"/>
        <v>8.4173012159000304E-2</v>
      </c>
    </row>
    <row r="245" spans="1:13" x14ac:dyDescent="0.2">
      <c r="A245" s="6">
        <v>44330</v>
      </c>
      <c r="B245" s="16">
        <v>16.139700000000001</v>
      </c>
      <c r="C245" s="16">
        <v>14.303000000000001</v>
      </c>
      <c r="D245" s="16">
        <v>15.8848</v>
      </c>
      <c r="E245" s="16">
        <v>21.8748</v>
      </c>
      <c r="F245" s="16">
        <v>15.7667</v>
      </c>
      <c r="G245" s="29">
        <f t="shared" si="24"/>
        <v>15.518737739463592</v>
      </c>
      <c r="H245" s="17">
        <f t="shared" si="25"/>
        <v>18.188893048271389</v>
      </c>
      <c r="I245" s="17">
        <f t="shared" si="26"/>
        <v>12.848582430655794</v>
      </c>
      <c r="J245" s="17">
        <f t="shared" si="27"/>
        <v>20.859048357079189</v>
      </c>
      <c r="K245" s="17">
        <f t="shared" si="28"/>
        <v>10.178427121847996</v>
      </c>
      <c r="L245" s="17">
        <f t="shared" si="29"/>
        <v>0.23255660765802544</v>
      </c>
      <c r="M245" s="11">
        <f t="shared" si="30"/>
        <v>0.12841361952038044</v>
      </c>
    </row>
    <row r="246" spans="1:13" x14ac:dyDescent="0.2">
      <c r="A246" s="6">
        <v>44337</v>
      </c>
      <c r="B246" s="16">
        <v>15.912100000000001</v>
      </c>
      <c r="C246" s="16">
        <v>14.5372</v>
      </c>
      <c r="D246" s="16">
        <v>16.194299999999998</v>
      </c>
      <c r="E246" s="16">
        <v>22.564399999999999</v>
      </c>
      <c r="F246" s="16">
        <v>16.231300000000001</v>
      </c>
      <c r="G246" s="29">
        <f t="shared" si="24"/>
        <v>15.518737739463592</v>
      </c>
      <c r="H246" s="17">
        <f t="shared" si="25"/>
        <v>18.188893048271389</v>
      </c>
      <c r="I246" s="17">
        <f t="shared" si="26"/>
        <v>12.848582430655794</v>
      </c>
      <c r="J246" s="17">
        <f t="shared" si="27"/>
        <v>20.859048357079189</v>
      </c>
      <c r="K246" s="17">
        <f t="shared" si="28"/>
        <v>10.178427121847996</v>
      </c>
      <c r="L246" s="17">
        <f t="shared" si="29"/>
        <v>0.14731812012539494</v>
      </c>
      <c r="M246" s="11">
        <f t="shared" si="30"/>
        <v>9.4578048042263996E-2</v>
      </c>
    </row>
    <row r="247" spans="1:13" x14ac:dyDescent="0.2">
      <c r="A247" s="6">
        <v>44344</v>
      </c>
      <c r="B247" s="16">
        <v>16.372499999999999</v>
      </c>
      <c r="C247" s="16">
        <v>15.3249</v>
      </c>
      <c r="D247" s="16">
        <v>16.7197</v>
      </c>
      <c r="E247" s="16">
        <v>23.148900000000001</v>
      </c>
      <c r="F247" s="16">
        <v>16.998200000000001</v>
      </c>
      <c r="G247" s="29">
        <f t="shared" si="24"/>
        <v>15.518737739463592</v>
      </c>
      <c r="H247" s="17">
        <f t="shared" si="25"/>
        <v>18.188893048271389</v>
      </c>
      <c r="I247" s="17">
        <f t="shared" si="26"/>
        <v>12.848582430655794</v>
      </c>
      <c r="J247" s="17">
        <f t="shared" si="27"/>
        <v>20.859048357079189</v>
      </c>
      <c r="K247" s="17">
        <f t="shared" si="28"/>
        <v>10.178427121847996</v>
      </c>
      <c r="L247" s="17">
        <f t="shared" si="29"/>
        <v>0.31974254745414188</v>
      </c>
      <c r="M247" s="11">
        <f t="shared" si="30"/>
        <v>6.8359336765655865E-2</v>
      </c>
    </row>
    <row r="248" spans="1:13" x14ac:dyDescent="0.2">
      <c r="A248" s="6">
        <v>44351</v>
      </c>
      <c r="B248" s="16">
        <v>17.103400000000001</v>
      </c>
      <c r="C248" s="16">
        <v>14.9816</v>
      </c>
      <c r="D248" s="16">
        <v>16.768599999999999</v>
      </c>
      <c r="E248" s="16">
        <v>23.651399999999999</v>
      </c>
      <c r="F248" s="16">
        <v>17.152200000000001</v>
      </c>
      <c r="G248" s="29">
        <f t="shared" si="24"/>
        <v>15.518737739463592</v>
      </c>
      <c r="H248" s="17">
        <f t="shared" si="25"/>
        <v>18.188893048271389</v>
      </c>
      <c r="I248" s="17">
        <f t="shared" si="26"/>
        <v>12.848582430655794</v>
      </c>
      <c r="J248" s="17">
        <f t="shared" si="27"/>
        <v>20.859048357079189</v>
      </c>
      <c r="K248" s="17">
        <f t="shared" si="28"/>
        <v>10.178427121847996</v>
      </c>
      <c r="L248" s="17">
        <f t="shared" si="29"/>
        <v>0.59347194348928956</v>
      </c>
      <c r="M248" s="11">
        <f t="shared" si="30"/>
        <v>0.14162706253003687</v>
      </c>
    </row>
    <row r="249" spans="1:13" x14ac:dyDescent="0.2">
      <c r="A249" s="6">
        <v>44358</v>
      </c>
      <c r="B249" s="16">
        <v>16.952300000000001</v>
      </c>
      <c r="C249" s="16">
        <v>14.963699999999999</v>
      </c>
      <c r="D249" s="16">
        <v>16.796700000000001</v>
      </c>
      <c r="E249" s="16">
        <v>23.962599999999998</v>
      </c>
      <c r="F249" s="16">
        <v>17.048999999999999</v>
      </c>
      <c r="G249" s="29">
        <f t="shared" si="24"/>
        <v>15.518737739463592</v>
      </c>
      <c r="H249" s="17">
        <f t="shared" si="25"/>
        <v>18.188893048271389</v>
      </c>
      <c r="I249" s="17">
        <f t="shared" si="26"/>
        <v>12.848582430655794</v>
      </c>
      <c r="J249" s="17">
        <f t="shared" si="27"/>
        <v>20.859048357079189</v>
      </c>
      <c r="K249" s="17">
        <f t="shared" si="28"/>
        <v>10.178427121847996</v>
      </c>
      <c r="L249" s="17">
        <f t="shared" si="29"/>
        <v>0.53688347483296095</v>
      </c>
      <c r="M249" s="11">
        <f t="shared" si="30"/>
        <v>0.13289493908592132</v>
      </c>
    </row>
    <row r="250" spans="1:13" x14ac:dyDescent="0.2">
      <c r="A250" s="6">
        <v>44365</v>
      </c>
      <c r="B250" s="16">
        <v>16.257300000000001</v>
      </c>
      <c r="C250" s="16">
        <v>14.691800000000001</v>
      </c>
      <c r="D250" s="16">
        <v>16.607900000000001</v>
      </c>
      <c r="E250" s="16">
        <v>23.712800000000001</v>
      </c>
      <c r="F250" s="16">
        <v>16.9057</v>
      </c>
      <c r="G250" s="29">
        <f t="shared" si="24"/>
        <v>15.518737739463592</v>
      </c>
      <c r="H250" s="17">
        <f t="shared" si="25"/>
        <v>18.188893048271389</v>
      </c>
      <c r="I250" s="17">
        <f t="shared" si="26"/>
        <v>12.848582430655794</v>
      </c>
      <c r="J250" s="17">
        <f t="shared" si="27"/>
        <v>20.859048357079189</v>
      </c>
      <c r="K250" s="17">
        <f t="shared" si="28"/>
        <v>10.178427121847996</v>
      </c>
      <c r="L250" s="17">
        <f t="shared" si="29"/>
        <v>0.27659898961688867</v>
      </c>
      <c r="M250" s="11">
        <f t="shared" si="30"/>
        <v>0.10655603806204827</v>
      </c>
    </row>
    <row r="251" spans="1:13" x14ac:dyDescent="0.2">
      <c r="A251" s="6">
        <v>44372</v>
      </c>
      <c r="B251" s="16">
        <v>16.098800000000001</v>
      </c>
      <c r="C251" s="16">
        <v>15.0025</v>
      </c>
      <c r="D251" s="16">
        <v>16.9026</v>
      </c>
      <c r="E251" s="16">
        <v>23.843</v>
      </c>
      <c r="F251" s="16">
        <v>17.4726</v>
      </c>
      <c r="G251" s="29">
        <f t="shared" si="24"/>
        <v>15.518737739463592</v>
      </c>
      <c r="H251" s="17">
        <f t="shared" si="25"/>
        <v>18.188893048271389</v>
      </c>
      <c r="I251" s="17">
        <f t="shared" si="26"/>
        <v>12.848582430655794</v>
      </c>
      <c r="J251" s="17">
        <f t="shared" si="27"/>
        <v>20.859048357079189</v>
      </c>
      <c r="K251" s="17">
        <f t="shared" si="28"/>
        <v>10.178427121847996</v>
      </c>
      <c r="L251" s="17">
        <f t="shared" si="29"/>
        <v>0.21723914658559737</v>
      </c>
      <c r="M251" s="11">
        <f t="shared" si="30"/>
        <v>7.3074487585402581E-2</v>
      </c>
    </row>
    <row r="252" spans="1:13" x14ac:dyDescent="0.2">
      <c r="A252" s="6">
        <v>44379</v>
      </c>
      <c r="B252" s="16">
        <v>16.052900000000001</v>
      </c>
      <c r="C252" s="16">
        <v>14.7379</v>
      </c>
      <c r="D252" s="16">
        <v>16.588799999999999</v>
      </c>
      <c r="E252" s="16">
        <v>23.683399999999999</v>
      </c>
      <c r="F252" s="16">
        <v>16.964300000000001</v>
      </c>
      <c r="G252" s="29">
        <f t="shared" si="24"/>
        <v>15.518737739463592</v>
      </c>
      <c r="H252" s="17">
        <f t="shared" si="25"/>
        <v>18.188893048271389</v>
      </c>
      <c r="I252" s="17">
        <f t="shared" si="26"/>
        <v>12.848582430655794</v>
      </c>
      <c r="J252" s="17">
        <f t="shared" si="27"/>
        <v>20.859048357079189</v>
      </c>
      <c r="K252" s="17">
        <f t="shared" si="28"/>
        <v>10.178427121847996</v>
      </c>
      <c r="L252" s="17">
        <f t="shared" si="29"/>
        <v>0.20004913525981663</v>
      </c>
      <c r="M252" s="11">
        <f t="shared" si="30"/>
        <v>8.9225737723827692E-2</v>
      </c>
    </row>
    <row r="253" spans="1:13" x14ac:dyDescent="0.2">
      <c r="A253" s="6">
        <v>44386</v>
      </c>
      <c r="B253" s="16">
        <v>15.8283</v>
      </c>
      <c r="C253" s="16">
        <v>14.2964</v>
      </c>
      <c r="D253" s="16">
        <v>16.1374</v>
      </c>
      <c r="E253" s="16">
        <v>23.527699999999999</v>
      </c>
      <c r="F253" s="16">
        <v>16.183</v>
      </c>
      <c r="G253" s="29">
        <f t="shared" si="24"/>
        <v>15.518737739463592</v>
      </c>
      <c r="H253" s="17">
        <f t="shared" si="25"/>
        <v>18.188893048271389</v>
      </c>
      <c r="I253" s="17">
        <f t="shared" si="26"/>
        <v>12.848582430655794</v>
      </c>
      <c r="J253" s="17">
        <f t="shared" si="27"/>
        <v>20.859048357079189</v>
      </c>
      <c r="K253" s="17">
        <f t="shared" si="28"/>
        <v>10.178427121847996</v>
      </c>
      <c r="L253" s="17">
        <f t="shared" si="29"/>
        <v>0.11593417787919799</v>
      </c>
      <c r="M253" s="11">
        <f t="shared" si="30"/>
        <v>0.10715284966844796</v>
      </c>
    </row>
    <row r="254" spans="1:13" x14ac:dyDescent="0.2">
      <c r="A254" s="6">
        <v>44393</v>
      </c>
      <c r="B254" s="16">
        <v>15.9521</v>
      </c>
      <c r="C254" s="16">
        <v>14.4527</v>
      </c>
      <c r="D254" s="16">
        <v>16.4389</v>
      </c>
      <c r="E254" s="16">
        <v>23.913799999999998</v>
      </c>
      <c r="F254" s="16">
        <v>16.4999</v>
      </c>
      <c r="G254" s="29">
        <f t="shared" si="24"/>
        <v>15.518737739463592</v>
      </c>
      <c r="H254" s="17">
        <f t="shared" si="25"/>
        <v>18.188893048271389</v>
      </c>
      <c r="I254" s="17">
        <f t="shared" si="26"/>
        <v>12.848582430655794</v>
      </c>
      <c r="J254" s="17">
        <f t="shared" si="27"/>
        <v>20.859048357079189</v>
      </c>
      <c r="K254" s="17">
        <f t="shared" si="28"/>
        <v>10.178427121847996</v>
      </c>
      <c r="L254" s="17">
        <f t="shared" si="29"/>
        <v>0.1622985221522189</v>
      </c>
      <c r="M254" s="11">
        <f t="shared" si="30"/>
        <v>0.10374532094349154</v>
      </c>
    </row>
    <row r="255" spans="1:13" x14ac:dyDescent="0.2">
      <c r="A255" s="6">
        <v>44400</v>
      </c>
      <c r="B255" s="16">
        <v>15.908300000000001</v>
      </c>
      <c r="C255" s="16">
        <v>14.1149</v>
      </c>
      <c r="D255" s="16">
        <v>16.055599999999998</v>
      </c>
      <c r="E255" s="16">
        <v>24.044599999999999</v>
      </c>
      <c r="F255" s="16">
        <v>15.8964</v>
      </c>
      <c r="G255" s="29">
        <f t="shared" si="24"/>
        <v>15.518737739463592</v>
      </c>
      <c r="H255" s="17">
        <f t="shared" si="25"/>
        <v>18.188893048271389</v>
      </c>
      <c r="I255" s="17">
        <f t="shared" si="26"/>
        <v>12.848582430655794</v>
      </c>
      <c r="J255" s="17">
        <f t="shared" si="27"/>
        <v>20.859048357079189</v>
      </c>
      <c r="K255" s="17">
        <f t="shared" si="28"/>
        <v>10.178427121847996</v>
      </c>
      <c r="L255" s="17">
        <f t="shared" si="29"/>
        <v>0.14589498193284661</v>
      </c>
      <c r="M255" s="11">
        <f t="shared" si="30"/>
        <v>0.12705722321801782</v>
      </c>
    </row>
    <row r="256" spans="1:13" x14ac:dyDescent="0.2">
      <c r="A256" s="6">
        <v>44407</v>
      </c>
      <c r="B256" s="16">
        <v>15.638</v>
      </c>
      <c r="C256" s="16">
        <v>13.7209</v>
      </c>
      <c r="D256" s="16">
        <v>15.542400000000001</v>
      </c>
      <c r="E256" s="16">
        <v>24.5059</v>
      </c>
      <c r="F256" s="16">
        <v>14.985300000000001</v>
      </c>
      <c r="G256" s="29">
        <f t="shared" si="24"/>
        <v>15.518737739463592</v>
      </c>
      <c r="H256" s="17">
        <f t="shared" si="25"/>
        <v>18.188893048271389</v>
      </c>
      <c r="I256" s="17">
        <f t="shared" si="26"/>
        <v>12.848582430655794</v>
      </c>
      <c r="J256" s="17">
        <f t="shared" si="27"/>
        <v>20.859048357079189</v>
      </c>
      <c r="K256" s="17">
        <f t="shared" si="28"/>
        <v>10.178427121847996</v>
      </c>
      <c r="L256" s="17">
        <f t="shared" si="29"/>
        <v>4.4664915236581171E-2</v>
      </c>
      <c r="M256" s="11">
        <f t="shared" si="30"/>
        <v>0.13972115531779972</v>
      </c>
    </row>
    <row r="257" spans="1:13" x14ac:dyDescent="0.2">
      <c r="A257" s="6">
        <v>44414</v>
      </c>
      <c r="B257" s="16">
        <v>16.192699999999999</v>
      </c>
      <c r="C257" s="16">
        <v>13.841200000000001</v>
      </c>
      <c r="D257" s="16">
        <v>15.718400000000001</v>
      </c>
      <c r="E257" s="16">
        <v>25.152100000000001</v>
      </c>
      <c r="F257" s="16">
        <v>15.063700000000001</v>
      </c>
      <c r="G257" s="29">
        <f t="shared" si="24"/>
        <v>15.518737739463592</v>
      </c>
      <c r="H257" s="17">
        <f t="shared" si="25"/>
        <v>18.188893048271389</v>
      </c>
      <c r="I257" s="17">
        <f t="shared" si="26"/>
        <v>12.848582430655794</v>
      </c>
      <c r="J257" s="17">
        <f t="shared" si="27"/>
        <v>20.859048357079189</v>
      </c>
      <c r="K257" s="17">
        <f t="shared" si="28"/>
        <v>10.178427121847996</v>
      </c>
      <c r="L257" s="17">
        <f t="shared" si="29"/>
        <v>0.25240564034356661</v>
      </c>
      <c r="M257" s="11">
        <f t="shared" si="30"/>
        <v>0.16989133890125108</v>
      </c>
    </row>
    <row r="258" spans="1:13" x14ac:dyDescent="0.2">
      <c r="A258" s="6">
        <v>44421</v>
      </c>
      <c r="B258" s="16">
        <v>16.476700000000001</v>
      </c>
      <c r="C258" s="16">
        <v>13.709899999999999</v>
      </c>
      <c r="D258" s="16">
        <v>15.505599999999999</v>
      </c>
      <c r="E258" s="16">
        <v>25.3992</v>
      </c>
      <c r="F258" s="16">
        <v>15.1358</v>
      </c>
      <c r="G258" s="29">
        <f t="shared" si="24"/>
        <v>15.518737739463592</v>
      </c>
      <c r="H258" s="17">
        <f t="shared" si="25"/>
        <v>18.188893048271389</v>
      </c>
      <c r="I258" s="17">
        <f t="shared" si="26"/>
        <v>12.848582430655794</v>
      </c>
      <c r="J258" s="17">
        <f t="shared" si="27"/>
        <v>20.859048357079189</v>
      </c>
      <c r="K258" s="17">
        <f t="shared" si="28"/>
        <v>10.178427121847996</v>
      </c>
      <c r="L258" s="17">
        <f t="shared" si="29"/>
        <v>0.35876649473402006</v>
      </c>
      <c r="M258" s="11">
        <f t="shared" si="30"/>
        <v>0.20181037060810092</v>
      </c>
    </row>
    <row r="259" spans="1:13" x14ac:dyDescent="0.2">
      <c r="A259" s="6">
        <v>44428</v>
      </c>
      <c r="B259" s="16">
        <v>16.694900000000001</v>
      </c>
      <c r="C259" s="16">
        <v>13.065799999999999</v>
      </c>
      <c r="D259" s="16">
        <v>14.795</v>
      </c>
      <c r="E259" s="16">
        <v>25.260899999999999</v>
      </c>
      <c r="F259" s="16">
        <v>13.982900000000001</v>
      </c>
      <c r="G259" s="29">
        <f t="shared" si="24"/>
        <v>15.518737739463592</v>
      </c>
      <c r="H259" s="17">
        <f t="shared" si="25"/>
        <v>18.188893048271389</v>
      </c>
      <c r="I259" s="17">
        <f t="shared" si="26"/>
        <v>12.848582430655794</v>
      </c>
      <c r="J259" s="17">
        <f t="shared" si="27"/>
        <v>20.859048357079189</v>
      </c>
      <c r="K259" s="17">
        <f t="shared" si="28"/>
        <v>10.178427121847996</v>
      </c>
      <c r="L259" s="17">
        <f t="shared" si="29"/>
        <v>0.44048458779034644</v>
      </c>
      <c r="M259" s="11">
        <f t="shared" si="30"/>
        <v>0.27775566746774039</v>
      </c>
    </row>
    <row r="260" spans="1:13" x14ac:dyDescent="0.2">
      <c r="A260" s="6">
        <v>44435</v>
      </c>
      <c r="B260" s="16">
        <v>16.456</v>
      </c>
      <c r="C260" s="16">
        <v>13.579800000000001</v>
      </c>
      <c r="D260" s="16">
        <v>15.3978</v>
      </c>
      <c r="E260" s="16">
        <v>25.662400000000002</v>
      </c>
      <c r="F260" s="16">
        <v>14.7317</v>
      </c>
      <c r="G260" s="29">
        <f t="shared" si="24"/>
        <v>15.518737739463592</v>
      </c>
      <c r="H260" s="17">
        <f t="shared" si="25"/>
        <v>18.188893048271389</v>
      </c>
      <c r="I260" s="17">
        <f t="shared" si="26"/>
        <v>12.848582430655794</v>
      </c>
      <c r="J260" s="17">
        <f t="shared" si="27"/>
        <v>20.859048357079189</v>
      </c>
      <c r="K260" s="17">
        <f t="shared" si="28"/>
        <v>10.178427121847996</v>
      </c>
      <c r="L260" s="17">
        <f t="shared" si="29"/>
        <v>0.35101413668513792</v>
      </c>
      <c r="M260" s="11">
        <f t="shared" si="30"/>
        <v>0.21179987923238919</v>
      </c>
    </row>
    <row r="261" spans="1:13" x14ac:dyDescent="0.2">
      <c r="A261" s="6">
        <v>44442</v>
      </c>
      <c r="B261" s="16">
        <v>16.933900000000001</v>
      </c>
      <c r="C261" s="16">
        <v>14.0367</v>
      </c>
      <c r="D261" s="16">
        <v>16.090599999999998</v>
      </c>
      <c r="E261" s="16">
        <v>26.641500000000001</v>
      </c>
      <c r="F261" s="16">
        <v>15.580500000000001</v>
      </c>
      <c r="G261" s="29">
        <f t="shared" si="24"/>
        <v>15.518737739463592</v>
      </c>
      <c r="H261" s="17">
        <f t="shared" si="25"/>
        <v>18.188893048271389</v>
      </c>
      <c r="I261" s="17">
        <f t="shared" si="26"/>
        <v>12.848582430655794</v>
      </c>
      <c r="J261" s="17">
        <f t="shared" si="27"/>
        <v>20.859048357079189</v>
      </c>
      <c r="K261" s="17">
        <f t="shared" si="28"/>
        <v>10.178427121847996</v>
      </c>
      <c r="L261" s="17">
        <f t="shared" si="29"/>
        <v>0.52999248990062187</v>
      </c>
      <c r="M261" s="11">
        <f t="shared" si="30"/>
        <v>0.20640178959442035</v>
      </c>
    </row>
    <row r="262" spans="1:13" x14ac:dyDescent="0.2">
      <c r="A262" s="6">
        <v>44449</v>
      </c>
      <c r="B262" s="16">
        <v>16.800599999999999</v>
      </c>
      <c r="C262" s="16">
        <v>13.9725</v>
      </c>
      <c r="D262" s="16">
        <v>16.074300000000001</v>
      </c>
      <c r="E262" s="16">
        <v>26.7361</v>
      </c>
      <c r="F262" s="16">
        <v>15.699</v>
      </c>
      <c r="G262" s="29">
        <f t="shared" ref="G262:G325" si="31">$R$6</f>
        <v>15.518737739463592</v>
      </c>
      <c r="H262" s="17">
        <f t="shared" ref="H262:H325" si="32">$R$6+$R$7</f>
        <v>18.188893048271389</v>
      </c>
      <c r="I262" s="17">
        <f t="shared" ref="I262:I325" si="33">$R$6-$R$7</f>
        <v>12.848582430655794</v>
      </c>
      <c r="J262" s="17">
        <f t="shared" ref="J262:J325" si="34">$R$6+2*$R$7</f>
        <v>20.859048357079189</v>
      </c>
      <c r="K262" s="17">
        <f t="shared" ref="K262:K325" si="35">$R$6-2*$R$7</f>
        <v>10.178427121847996</v>
      </c>
      <c r="L262" s="17">
        <f t="shared" ref="L262:L325" si="36">(B262-$R$6)/$R$7</f>
        <v>0.48007030014622915</v>
      </c>
      <c r="M262" s="11">
        <f t="shared" ref="M262:M325" si="37">IF(AND(ISNUMBER(B262),ISNUMBER(C262)),B262/C262-1,"")</f>
        <v>0.20240472356414374</v>
      </c>
    </row>
    <row r="263" spans="1:13" x14ac:dyDescent="0.2">
      <c r="A263" s="6">
        <v>44456</v>
      </c>
      <c r="B263" s="16">
        <v>16.643599999999999</v>
      </c>
      <c r="C263" s="16">
        <v>13.693199999999999</v>
      </c>
      <c r="D263" s="16">
        <v>15.7075</v>
      </c>
      <c r="E263" s="16">
        <v>26.976199999999999</v>
      </c>
      <c r="F263" s="16">
        <v>14.9459</v>
      </c>
      <c r="G263" s="29">
        <f t="shared" si="31"/>
        <v>15.518737739463592</v>
      </c>
      <c r="H263" s="17">
        <f t="shared" si="32"/>
        <v>18.188893048271389</v>
      </c>
      <c r="I263" s="17">
        <f t="shared" si="33"/>
        <v>12.848582430655794</v>
      </c>
      <c r="J263" s="17">
        <f t="shared" si="34"/>
        <v>20.859048357079189</v>
      </c>
      <c r="K263" s="17">
        <f t="shared" si="35"/>
        <v>10.178427121847996</v>
      </c>
      <c r="L263" s="17">
        <f t="shared" si="36"/>
        <v>0.42127222219094379</v>
      </c>
      <c r="M263" s="11">
        <f t="shared" si="37"/>
        <v>0.21546461017147189</v>
      </c>
    </row>
    <row r="264" spans="1:13" x14ac:dyDescent="0.2">
      <c r="A264" s="6">
        <v>44463</v>
      </c>
      <c r="B264" s="16">
        <v>16.703199999999999</v>
      </c>
      <c r="C264" s="16">
        <v>13.541</v>
      </c>
      <c r="D264" s="16">
        <v>15.5174</v>
      </c>
      <c r="E264" s="16">
        <v>27.276399999999999</v>
      </c>
      <c r="F264" s="16">
        <v>14.573600000000001</v>
      </c>
      <c r="G264" s="29">
        <f t="shared" si="31"/>
        <v>15.518737739463592</v>
      </c>
      <c r="H264" s="17">
        <f t="shared" si="32"/>
        <v>18.188893048271389</v>
      </c>
      <c r="I264" s="17">
        <f t="shared" si="33"/>
        <v>12.848582430655794</v>
      </c>
      <c r="J264" s="17">
        <f t="shared" si="34"/>
        <v>20.859048357079189</v>
      </c>
      <c r="K264" s="17">
        <f t="shared" si="35"/>
        <v>10.178427121847996</v>
      </c>
      <c r="L264" s="17">
        <f t="shared" si="36"/>
        <v>0.44359302121091188</v>
      </c>
      <c r="M264" s="11">
        <f t="shared" si="37"/>
        <v>0.23352780444575716</v>
      </c>
    </row>
    <row r="265" spans="1:13" x14ac:dyDescent="0.2">
      <c r="A265" s="6">
        <v>44470</v>
      </c>
      <c r="B265" s="16">
        <v>17.0503</v>
      </c>
      <c r="C265" s="16">
        <v>13.3773</v>
      </c>
      <c r="D265" s="16">
        <v>15.2683</v>
      </c>
      <c r="E265" s="16">
        <v>26.791599999999999</v>
      </c>
      <c r="F265" s="16">
        <v>14.583399999999999</v>
      </c>
      <c r="G265" s="29">
        <f t="shared" si="31"/>
        <v>15.518737739463592</v>
      </c>
      <c r="H265" s="17">
        <f t="shared" si="32"/>
        <v>18.188893048271389</v>
      </c>
      <c r="I265" s="17">
        <f t="shared" si="33"/>
        <v>12.848582430655794</v>
      </c>
      <c r="J265" s="17">
        <f t="shared" si="34"/>
        <v>20.859048357079189</v>
      </c>
      <c r="K265" s="17">
        <f t="shared" si="35"/>
        <v>10.178427121847996</v>
      </c>
      <c r="L265" s="17">
        <f t="shared" si="36"/>
        <v>0.57358545979868014</v>
      </c>
      <c r="M265" s="11">
        <f t="shared" si="37"/>
        <v>0.27456960672183484</v>
      </c>
    </row>
    <row r="266" spans="1:13" x14ac:dyDescent="0.2">
      <c r="A266" s="6">
        <v>44477</v>
      </c>
      <c r="B266" s="16">
        <v>18.1174</v>
      </c>
      <c r="C266" s="16">
        <v>13.521699999999999</v>
      </c>
      <c r="D266" s="16">
        <v>15.4415</v>
      </c>
      <c r="E266" s="16">
        <v>27.544599999999999</v>
      </c>
      <c r="F266" s="16">
        <v>14.8691</v>
      </c>
      <c r="G266" s="29">
        <f t="shared" si="31"/>
        <v>15.518737739463592</v>
      </c>
      <c r="H266" s="17">
        <f t="shared" si="32"/>
        <v>18.188893048271389</v>
      </c>
      <c r="I266" s="17">
        <f t="shared" si="33"/>
        <v>12.848582430655794</v>
      </c>
      <c r="J266" s="17">
        <f t="shared" si="34"/>
        <v>20.859048357079189</v>
      </c>
      <c r="K266" s="17">
        <f t="shared" si="35"/>
        <v>10.178427121847996</v>
      </c>
      <c r="L266" s="17">
        <f t="shared" si="36"/>
        <v>0.9732251348692853</v>
      </c>
      <c r="M266" s="11">
        <f t="shared" si="37"/>
        <v>0.33987590317785488</v>
      </c>
    </row>
    <row r="267" spans="1:13" x14ac:dyDescent="0.2">
      <c r="A267" s="6">
        <v>44484</v>
      </c>
      <c r="B267" s="16">
        <v>18.740400000000001</v>
      </c>
      <c r="C267" s="16">
        <v>13.7857</v>
      </c>
      <c r="D267" s="16">
        <v>15.726000000000001</v>
      </c>
      <c r="E267" s="16">
        <v>28.1279</v>
      </c>
      <c r="F267" s="16">
        <v>15.141999999999999</v>
      </c>
      <c r="G267" s="29">
        <f t="shared" si="31"/>
        <v>15.518737739463592</v>
      </c>
      <c r="H267" s="17">
        <f t="shared" si="32"/>
        <v>18.188893048271389</v>
      </c>
      <c r="I267" s="17">
        <f t="shared" si="33"/>
        <v>12.848582430655794</v>
      </c>
      <c r="J267" s="17">
        <f t="shared" si="34"/>
        <v>20.859048357079189</v>
      </c>
      <c r="K267" s="17">
        <f t="shared" si="35"/>
        <v>10.178427121847996</v>
      </c>
      <c r="L267" s="17">
        <f t="shared" si="36"/>
        <v>1.2065448964370742</v>
      </c>
      <c r="M267" s="11">
        <f t="shared" si="37"/>
        <v>0.35940866259965043</v>
      </c>
    </row>
    <row r="268" spans="1:13" x14ac:dyDescent="0.2">
      <c r="A268" s="6">
        <v>44491</v>
      </c>
      <c r="B268" s="16">
        <v>18.7087</v>
      </c>
      <c r="C268" s="16">
        <v>13.891999999999999</v>
      </c>
      <c r="D268" s="16">
        <v>15.931699999999999</v>
      </c>
      <c r="E268" s="16">
        <v>27.477900000000002</v>
      </c>
      <c r="F268" s="16">
        <v>15.6736</v>
      </c>
      <c r="G268" s="29">
        <f t="shared" si="31"/>
        <v>15.518737739463592</v>
      </c>
      <c r="H268" s="17">
        <f t="shared" si="32"/>
        <v>18.188893048271389</v>
      </c>
      <c r="I268" s="17">
        <f t="shared" si="33"/>
        <v>12.848582430655794</v>
      </c>
      <c r="J268" s="17">
        <f t="shared" si="34"/>
        <v>20.859048357079189</v>
      </c>
      <c r="K268" s="17">
        <f t="shared" si="35"/>
        <v>10.178427121847996</v>
      </c>
      <c r="L268" s="17">
        <f t="shared" si="36"/>
        <v>1.1946729278308157</v>
      </c>
      <c r="M268" s="11">
        <f t="shared" si="37"/>
        <v>0.34672473365966039</v>
      </c>
    </row>
    <row r="269" spans="1:13" x14ac:dyDescent="0.2">
      <c r="A269" s="6">
        <v>44498</v>
      </c>
      <c r="B269" s="16">
        <v>18.2437</v>
      </c>
      <c r="C269" s="16">
        <v>13.5564</v>
      </c>
      <c r="D269" s="16">
        <v>15.5764</v>
      </c>
      <c r="E269" s="16">
        <v>27.148900000000001</v>
      </c>
      <c r="F269" s="16">
        <v>15.086499999999999</v>
      </c>
      <c r="G269" s="29">
        <f t="shared" si="31"/>
        <v>15.518737739463592</v>
      </c>
      <c r="H269" s="17">
        <f t="shared" si="32"/>
        <v>18.188893048271389</v>
      </c>
      <c r="I269" s="17">
        <f t="shared" si="33"/>
        <v>12.848582430655794</v>
      </c>
      <c r="J269" s="17">
        <f t="shared" si="34"/>
        <v>20.859048357079189</v>
      </c>
      <c r="K269" s="17">
        <f t="shared" si="35"/>
        <v>10.178427121847996</v>
      </c>
      <c r="L269" s="17">
        <f t="shared" si="36"/>
        <v>1.0205257542689832</v>
      </c>
      <c r="M269" s="11">
        <f t="shared" si="37"/>
        <v>0.34576288690212742</v>
      </c>
    </row>
    <row r="270" spans="1:13" x14ac:dyDescent="0.2">
      <c r="A270" s="6">
        <v>44505</v>
      </c>
      <c r="B270" s="16">
        <v>18.0184</v>
      </c>
      <c r="C270" s="16">
        <v>13.520200000000001</v>
      </c>
      <c r="D270" s="16">
        <v>15.5022</v>
      </c>
      <c r="E270" s="16">
        <v>28.001999999999999</v>
      </c>
      <c r="F270" s="16">
        <v>14.741099999999999</v>
      </c>
      <c r="G270" s="29">
        <f t="shared" si="31"/>
        <v>15.518737739463592</v>
      </c>
      <c r="H270" s="17">
        <f t="shared" si="32"/>
        <v>18.188893048271389</v>
      </c>
      <c r="I270" s="17">
        <f t="shared" si="33"/>
        <v>12.848582430655794</v>
      </c>
      <c r="J270" s="17">
        <f t="shared" si="34"/>
        <v>20.859048357079189</v>
      </c>
      <c r="K270" s="17">
        <f t="shared" si="35"/>
        <v>10.178427121847996</v>
      </c>
      <c r="L270" s="17">
        <f t="shared" si="36"/>
        <v>0.93614863985289509</v>
      </c>
      <c r="M270" s="11">
        <f t="shared" si="37"/>
        <v>0.33270217896184962</v>
      </c>
    </row>
    <row r="271" spans="1:13" x14ac:dyDescent="0.2">
      <c r="A271" s="6">
        <v>44512</v>
      </c>
      <c r="B271" s="16">
        <v>18.149000000000001</v>
      </c>
      <c r="C271" s="16">
        <v>13.6983</v>
      </c>
      <c r="D271" s="16">
        <v>15.7554</v>
      </c>
      <c r="E271" s="16">
        <v>28.441199999999998</v>
      </c>
      <c r="F271" s="16">
        <v>15.260300000000001</v>
      </c>
      <c r="G271" s="29">
        <f t="shared" si="31"/>
        <v>15.518737739463592</v>
      </c>
      <c r="H271" s="17">
        <f t="shared" si="32"/>
        <v>18.188893048271389</v>
      </c>
      <c r="I271" s="17">
        <f t="shared" si="33"/>
        <v>12.848582430655794</v>
      </c>
      <c r="J271" s="17">
        <f t="shared" si="34"/>
        <v>20.859048357079189</v>
      </c>
      <c r="K271" s="17">
        <f t="shared" si="35"/>
        <v>10.178427121847996</v>
      </c>
      <c r="L271" s="17">
        <f t="shared" si="36"/>
        <v>0.98505965247047689</v>
      </c>
      <c r="M271" s="11">
        <f t="shared" si="37"/>
        <v>0.32490893030522039</v>
      </c>
    </row>
    <row r="272" spans="1:13" x14ac:dyDescent="0.2">
      <c r="A272" s="6">
        <v>44519</v>
      </c>
      <c r="B272" s="16">
        <v>17.956299999999999</v>
      </c>
      <c r="C272" s="16">
        <v>13.6112</v>
      </c>
      <c r="D272" s="16">
        <v>15.692299999999999</v>
      </c>
      <c r="E272" s="16">
        <v>27.694700000000001</v>
      </c>
      <c r="F272" s="16">
        <v>15.1068</v>
      </c>
      <c r="G272" s="29">
        <f t="shared" si="31"/>
        <v>15.518737739463592</v>
      </c>
      <c r="H272" s="17">
        <f t="shared" si="32"/>
        <v>18.188893048271389</v>
      </c>
      <c r="I272" s="17">
        <f t="shared" si="33"/>
        <v>12.848582430655794</v>
      </c>
      <c r="J272" s="17">
        <f t="shared" si="34"/>
        <v>20.859048357079189</v>
      </c>
      <c r="K272" s="17">
        <f t="shared" si="35"/>
        <v>10.178427121847996</v>
      </c>
      <c r="L272" s="17">
        <f t="shared" si="36"/>
        <v>0.91289156570624996</v>
      </c>
      <c r="M272" s="11">
        <f t="shared" si="37"/>
        <v>0.31922975196896664</v>
      </c>
    </row>
    <row r="273" spans="1:13" x14ac:dyDescent="0.2">
      <c r="A273" s="6">
        <v>44526</v>
      </c>
      <c r="B273" s="16">
        <v>17.498200000000001</v>
      </c>
      <c r="C273" s="16">
        <v>13.126099999999999</v>
      </c>
      <c r="D273" s="16">
        <v>15.191599999999999</v>
      </c>
      <c r="E273" s="16">
        <v>26.566600000000001</v>
      </c>
      <c r="F273" s="16">
        <v>14.5952</v>
      </c>
      <c r="G273" s="29">
        <f t="shared" si="31"/>
        <v>15.518737739463592</v>
      </c>
      <c r="H273" s="17">
        <f t="shared" si="32"/>
        <v>18.188893048271389</v>
      </c>
      <c r="I273" s="17">
        <f t="shared" si="33"/>
        <v>12.848582430655794</v>
      </c>
      <c r="J273" s="17">
        <f t="shared" si="34"/>
        <v>20.859048357079189</v>
      </c>
      <c r="K273" s="17">
        <f t="shared" si="35"/>
        <v>10.178427121847996</v>
      </c>
      <c r="L273" s="17">
        <f t="shared" si="36"/>
        <v>0.74132851149404544</v>
      </c>
      <c r="M273" s="11">
        <f t="shared" si="37"/>
        <v>0.33308446530195579</v>
      </c>
    </row>
    <row r="274" spans="1:13" x14ac:dyDescent="0.2">
      <c r="A274" s="6">
        <v>44533</v>
      </c>
      <c r="B274" s="16">
        <v>17.467099999999999</v>
      </c>
      <c r="C274" s="16">
        <v>13.3348</v>
      </c>
      <c r="D274" s="16">
        <v>15.329800000000001</v>
      </c>
      <c r="E274" s="16">
        <v>27.081</v>
      </c>
      <c r="F274" s="16">
        <v>14.150700000000001</v>
      </c>
      <c r="G274" s="29">
        <f t="shared" si="31"/>
        <v>15.518737739463592</v>
      </c>
      <c r="H274" s="17">
        <f t="shared" si="32"/>
        <v>18.188893048271389</v>
      </c>
      <c r="I274" s="17">
        <f t="shared" si="33"/>
        <v>12.848582430655794</v>
      </c>
      <c r="J274" s="17">
        <f t="shared" si="34"/>
        <v>20.859048357079189</v>
      </c>
      <c r="K274" s="17">
        <f t="shared" si="35"/>
        <v>10.178427121847996</v>
      </c>
      <c r="L274" s="17">
        <f t="shared" si="36"/>
        <v>0.72968124891818875</v>
      </c>
      <c r="M274" s="11">
        <f t="shared" si="37"/>
        <v>0.30988841227464969</v>
      </c>
    </row>
    <row r="275" spans="1:13" x14ac:dyDescent="0.2">
      <c r="A275" s="6">
        <v>44540</v>
      </c>
      <c r="B275" s="16">
        <v>17.614000000000001</v>
      </c>
      <c r="C275" s="16">
        <v>13.472</v>
      </c>
      <c r="D275" s="16">
        <v>15.5335</v>
      </c>
      <c r="E275" s="16">
        <v>27.5228</v>
      </c>
      <c r="F275" s="16">
        <v>14.390700000000001</v>
      </c>
      <c r="G275" s="29">
        <f t="shared" si="31"/>
        <v>15.518737739463592</v>
      </c>
      <c r="H275" s="17">
        <f t="shared" si="32"/>
        <v>18.188893048271389</v>
      </c>
      <c r="I275" s="17">
        <f t="shared" si="33"/>
        <v>12.848582430655794</v>
      </c>
      <c r="J275" s="17">
        <f t="shared" si="34"/>
        <v>20.859048357079189</v>
      </c>
      <c r="K275" s="17">
        <f t="shared" si="35"/>
        <v>10.178427121847996</v>
      </c>
      <c r="L275" s="17">
        <f t="shared" si="36"/>
        <v>0.78469677536170179</v>
      </c>
      <c r="M275" s="11">
        <f t="shared" si="37"/>
        <v>0.30745249406175779</v>
      </c>
    </row>
    <row r="276" spans="1:13" x14ac:dyDescent="0.2">
      <c r="A276" s="6">
        <v>44547</v>
      </c>
      <c r="B276" s="16">
        <v>17.4678</v>
      </c>
      <c r="C276" s="16">
        <v>13.2561</v>
      </c>
      <c r="D276" s="16">
        <v>15.1854</v>
      </c>
      <c r="E276" s="16">
        <v>26.697399999999998</v>
      </c>
      <c r="F276" s="16">
        <v>13.9511</v>
      </c>
      <c r="G276" s="29">
        <f t="shared" si="31"/>
        <v>15.518737739463592</v>
      </c>
      <c r="H276" s="17">
        <f t="shared" si="32"/>
        <v>18.188893048271389</v>
      </c>
      <c r="I276" s="17">
        <f t="shared" si="33"/>
        <v>12.848582430655794</v>
      </c>
      <c r="J276" s="17">
        <f t="shared" si="34"/>
        <v>20.859048357079189</v>
      </c>
      <c r="K276" s="17">
        <f t="shared" si="35"/>
        <v>10.178427121847996</v>
      </c>
      <c r="L276" s="17">
        <f t="shared" si="36"/>
        <v>0.72994340595365892</v>
      </c>
      <c r="M276" s="11">
        <f t="shared" si="37"/>
        <v>0.317717880824677</v>
      </c>
    </row>
    <row r="277" spans="1:13" x14ac:dyDescent="0.2">
      <c r="A277" s="6">
        <v>44554</v>
      </c>
      <c r="B277" s="16">
        <v>17.296600000000002</v>
      </c>
      <c r="C277" s="16">
        <v>13.311</v>
      </c>
      <c r="D277" s="16">
        <v>15.271800000000001</v>
      </c>
      <c r="E277" s="16">
        <v>26.831299999999999</v>
      </c>
      <c r="F277" s="16">
        <v>13.974500000000001</v>
      </c>
      <c r="G277" s="29">
        <f t="shared" si="31"/>
        <v>15.518737739463592</v>
      </c>
      <c r="H277" s="17">
        <f t="shared" si="32"/>
        <v>18.188893048271389</v>
      </c>
      <c r="I277" s="17">
        <f t="shared" si="33"/>
        <v>12.848582430655794</v>
      </c>
      <c r="J277" s="17">
        <f t="shared" si="34"/>
        <v>20.859048357079189</v>
      </c>
      <c r="K277" s="17">
        <f t="shared" si="35"/>
        <v>10.178427121847996</v>
      </c>
      <c r="L277" s="17">
        <f t="shared" si="36"/>
        <v>0.66582728527885127</v>
      </c>
      <c r="M277" s="11">
        <f t="shared" si="37"/>
        <v>0.29942153106453318</v>
      </c>
    </row>
    <row r="278" spans="1:13" x14ac:dyDescent="0.2">
      <c r="A278" s="6">
        <v>44561</v>
      </c>
      <c r="B278" s="16">
        <v>17.308299999999999</v>
      </c>
      <c r="C278" s="16">
        <v>13.395799999999999</v>
      </c>
      <c r="D278" s="16">
        <v>15.411199999999999</v>
      </c>
      <c r="E278" s="16">
        <v>27.379899999999999</v>
      </c>
      <c r="F278" s="16">
        <v>14.1107</v>
      </c>
      <c r="G278" s="29">
        <f t="shared" si="31"/>
        <v>15.518737739463592</v>
      </c>
      <c r="H278" s="17">
        <f t="shared" si="32"/>
        <v>18.188893048271389</v>
      </c>
      <c r="I278" s="17">
        <f t="shared" si="33"/>
        <v>12.848582430655794</v>
      </c>
      <c r="J278" s="17">
        <f t="shared" si="34"/>
        <v>20.859048357079189</v>
      </c>
      <c r="K278" s="17">
        <f t="shared" si="35"/>
        <v>10.178427121847996</v>
      </c>
      <c r="L278" s="17">
        <f t="shared" si="36"/>
        <v>0.67020905287169652</v>
      </c>
      <c r="M278" s="11">
        <f t="shared" si="37"/>
        <v>0.29206915600412064</v>
      </c>
    </row>
    <row r="279" spans="1:13" x14ac:dyDescent="0.2">
      <c r="A279" s="6">
        <v>44568</v>
      </c>
      <c r="B279" s="16">
        <v>17.765499999999999</v>
      </c>
      <c r="C279" s="16">
        <v>13.321300000000001</v>
      </c>
      <c r="D279" s="16">
        <v>15.311400000000001</v>
      </c>
      <c r="E279" s="16">
        <v>27.944700000000001</v>
      </c>
      <c r="F279" s="16">
        <v>13.9183</v>
      </c>
      <c r="G279" s="29">
        <f t="shared" si="31"/>
        <v>15.518737739463592</v>
      </c>
      <c r="H279" s="17">
        <f t="shared" si="32"/>
        <v>18.188893048271389</v>
      </c>
      <c r="I279" s="17">
        <f t="shared" si="33"/>
        <v>12.848582430655794</v>
      </c>
      <c r="J279" s="17">
        <f t="shared" si="34"/>
        <v>20.859048357079189</v>
      </c>
      <c r="K279" s="17">
        <f t="shared" si="35"/>
        <v>10.178427121847996</v>
      </c>
      <c r="L279" s="17">
        <f t="shared" si="36"/>
        <v>0.84143504803829827</v>
      </c>
      <c r="M279" s="11">
        <f t="shared" si="37"/>
        <v>0.33361608851988911</v>
      </c>
    </row>
    <row r="280" spans="1:13" x14ac:dyDescent="0.2">
      <c r="A280" s="6">
        <v>44575</v>
      </c>
      <c r="B280" s="16">
        <v>17.908899999999999</v>
      </c>
      <c r="C280" s="16">
        <v>13.654299999999999</v>
      </c>
      <c r="D280" s="16">
        <v>15.6775</v>
      </c>
      <c r="E280" s="16">
        <v>28.674199999999999</v>
      </c>
      <c r="F280" s="16">
        <v>14.316000000000001</v>
      </c>
      <c r="G280" s="29">
        <f t="shared" si="31"/>
        <v>15.518737739463592</v>
      </c>
      <c r="H280" s="17">
        <f t="shared" si="32"/>
        <v>18.188893048271389</v>
      </c>
      <c r="I280" s="17">
        <f t="shared" si="33"/>
        <v>12.848582430655794</v>
      </c>
      <c r="J280" s="17">
        <f t="shared" si="34"/>
        <v>20.859048357079189</v>
      </c>
      <c r="K280" s="17">
        <f t="shared" si="35"/>
        <v>10.178427121847996</v>
      </c>
      <c r="L280" s="17">
        <f t="shared" si="36"/>
        <v>0.89513978930446336</v>
      </c>
      <c r="M280" s="11">
        <f t="shared" si="37"/>
        <v>0.31159414982825928</v>
      </c>
    </row>
    <row r="281" spans="1:13" x14ac:dyDescent="0.2">
      <c r="A281" s="6">
        <v>44582</v>
      </c>
      <c r="B281" s="16">
        <v>18.0947</v>
      </c>
      <c r="C281" s="16">
        <v>13.489699999999999</v>
      </c>
      <c r="D281" s="16">
        <v>15.5259</v>
      </c>
      <c r="E281" s="16">
        <v>27.4575</v>
      </c>
      <c r="F281" s="16">
        <v>14.565899999999999</v>
      </c>
      <c r="G281" s="29">
        <f t="shared" si="31"/>
        <v>15.518737739463592</v>
      </c>
      <c r="H281" s="17">
        <f t="shared" si="32"/>
        <v>18.188893048271389</v>
      </c>
      <c r="I281" s="17">
        <f t="shared" si="33"/>
        <v>12.848582430655794</v>
      </c>
      <c r="J281" s="17">
        <f t="shared" si="34"/>
        <v>20.859048357079189</v>
      </c>
      <c r="K281" s="17">
        <f t="shared" si="35"/>
        <v>10.178427121847996</v>
      </c>
      <c r="L281" s="17">
        <f t="shared" si="36"/>
        <v>0.96472375671906241</v>
      </c>
      <c r="M281" s="11">
        <f t="shared" si="37"/>
        <v>0.34137156497179344</v>
      </c>
    </row>
    <row r="282" spans="1:13" x14ac:dyDescent="0.2">
      <c r="A282" s="6">
        <v>44589</v>
      </c>
      <c r="B282" s="16">
        <v>17.538</v>
      </c>
      <c r="C282" s="16">
        <v>12.792899999999999</v>
      </c>
      <c r="D282" s="16">
        <v>14.6004</v>
      </c>
      <c r="E282" s="16">
        <v>26.9087</v>
      </c>
      <c r="F282" s="16">
        <v>13.457000000000001</v>
      </c>
      <c r="G282" s="29">
        <f t="shared" si="31"/>
        <v>15.518737739463592</v>
      </c>
      <c r="H282" s="17">
        <f t="shared" si="32"/>
        <v>18.188893048271389</v>
      </c>
      <c r="I282" s="17">
        <f t="shared" si="33"/>
        <v>12.848582430655794</v>
      </c>
      <c r="J282" s="17">
        <f t="shared" si="34"/>
        <v>20.859048357079189</v>
      </c>
      <c r="K282" s="17">
        <f t="shared" si="35"/>
        <v>10.178427121847996</v>
      </c>
      <c r="L282" s="17">
        <f t="shared" si="36"/>
        <v>0.75623401151073544</v>
      </c>
      <c r="M282" s="11">
        <f t="shared" si="37"/>
        <v>0.37091668034612946</v>
      </c>
    </row>
    <row r="283" spans="1:13" x14ac:dyDescent="0.2">
      <c r="A283" s="6">
        <v>44596</v>
      </c>
      <c r="B283" s="16">
        <v>16.915099999999999</v>
      </c>
      <c r="C283" s="16">
        <v>13.121499999999999</v>
      </c>
      <c r="D283" s="16">
        <v>15.021699999999999</v>
      </c>
      <c r="E283" s="16">
        <v>22.990300000000001</v>
      </c>
      <c r="F283" s="16">
        <v>14.077400000000001</v>
      </c>
      <c r="G283" s="29">
        <f t="shared" si="31"/>
        <v>15.518737739463592</v>
      </c>
      <c r="H283" s="17">
        <f t="shared" si="32"/>
        <v>18.188893048271389</v>
      </c>
      <c r="I283" s="17">
        <f t="shared" si="33"/>
        <v>12.848582430655794</v>
      </c>
      <c r="J283" s="17">
        <f t="shared" si="34"/>
        <v>20.859048357079189</v>
      </c>
      <c r="K283" s="17">
        <f t="shared" si="35"/>
        <v>10.178427121847996</v>
      </c>
      <c r="L283" s="17">
        <f t="shared" si="36"/>
        <v>0.52295170094801358</v>
      </c>
      <c r="M283" s="11">
        <f t="shared" si="37"/>
        <v>0.28911328735281794</v>
      </c>
    </row>
    <row r="284" spans="1:13" x14ac:dyDescent="0.2">
      <c r="A284" s="6">
        <v>44603</v>
      </c>
      <c r="B284" s="16">
        <v>17.302800000000001</v>
      </c>
      <c r="C284" s="16">
        <v>13.3714</v>
      </c>
      <c r="D284" s="16">
        <v>15.2416</v>
      </c>
      <c r="E284" s="16">
        <v>22.7012</v>
      </c>
      <c r="F284" s="16">
        <v>14.382899999999999</v>
      </c>
      <c r="G284" s="29">
        <f t="shared" si="31"/>
        <v>15.518737739463592</v>
      </c>
      <c r="H284" s="17">
        <f t="shared" si="32"/>
        <v>18.188893048271389</v>
      </c>
      <c r="I284" s="17">
        <f t="shared" si="33"/>
        <v>12.848582430655794</v>
      </c>
      <c r="J284" s="17">
        <f t="shared" si="34"/>
        <v>20.859048357079189</v>
      </c>
      <c r="K284" s="17">
        <f t="shared" si="35"/>
        <v>10.178427121847996</v>
      </c>
      <c r="L284" s="17">
        <f t="shared" si="36"/>
        <v>0.66814924759300898</v>
      </c>
      <c r="M284" s="11">
        <f t="shared" si="37"/>
        <v>0.29401558550338791</v>
      </c>
    </row>
    <row r="285" spans="1:13" x14ac:dyDescent="0.2">
      <c r="A285" s="6">
        <v>44610</v>
      </c>
      <c r="B285" s="16">
        <v>17.468800000000002</v>
      </c>
      <c r="C285" s="16">
        <v>13.287699999999999</v>
      </c>
      <c r="D285" s="16">
        <v>15.151999999999999</v>
      </c>
      <c r="E285" s="16">
        <v>22.462299999999999</v>
      </c>
      <c r="F285" s="16">
        <v>14.195</v>
      </c>
      <c r="G285" s="29">
        <f t="shared" si="31"/>
        <v>15.518737739463592</v>
      </c>
      <c r="H285" s="17">
        <f t="shared" si="32"/>
        <v>18.188893048271389</v>
      </c>
      <c r="I285" s="17">
        <f t="shared" si="33"/>
        <v>12.848582430655794</v>
      </c>
      <c r="J285" s="17">
        <f t="shared" si="34"/>
        <v>20.859048357079189</v>
      </c>
      <c r="K285" s="17">
        <f t="shared" si="35"/>
        <v>10.178427121847996</v>
      </c>
      <c r="L285" s="17">
        <f t="shared" si="36"/>
        <v>0.73031791600432994</v>
      </c>
      <c r="M285" s="11">
        <f t="shared" si="37"/>
        <v>0.31465942187135498</v>
      </c>
    </row>
    <row r="286" spans="1:13" x14ac:dyDescent="0.2">
      <c r="A286" s="6">
        <v>44617</v>
      </c>
      <c r="B286" s="16">
        <v>17.610499999999998</v>
      </c>
      <c r="C286" s="16">
        <v>12.5306</v>
      </c>
      <c r="D286" s="16">
        <v>14.488899999999999</v>
      </c>
      <c r="E286" s="16">
        <v>21.723500000000001</v>
      </c>
      <c r="F286" s="16">
        <v>13.337899999999999</v>
      </c>
      <c r="G286" s="29">
        <f t="shared" si="31"/>
        <v>15.518737739463592</v>
      </c>
      <c r="H286" s="17">
        <f t="shared" si="32"/>
        <v>18.188893048271389</v>
      </c>
      <c r="I286" s="17">
        <f t="shared" si="33"/>
        <v>12.848582430655794</v>
      </c>
      <c r="J286" s="17">
        <f t="shared" si="34"/>
        <v>20.859048357079189</v>
      </c>
      <c r="K286" s="17">
        <f t="shared" si="35"/>
        <v>10.178427121847996</v>
      </c>
      <c r="L286" s="17">
        <f t="shared" si="36"/>
        <v>0.78338599018435373</v>
      </c>
      <c r="M286" s="11">
        <f t="shared" si="37"/>
        <v>0.40539958182369551</v>
      </c>
    </row>
    <row r="287" spans="1:13" x14ac:dyDescent="0.2">
      <c r="A287" s="6">
        <v>44624</v>
      </c>
      <c r="B287" s="16">
        <v>17.3446</v>
      </c>
      <c r="C287" s="16">
        <v>12.4641</v>
      </c>
      <c r="D287" s="16">
        <v>14.462199999999999</v>
      </c>
      <c r="E287" s="16">
        <v>21.3018</v>
      </c>
      <c r="F287" s="16">
        <v>12.851699999999999</v>
      </c>
      <c r="G287" s="29">
        <f t="shared" si="31"/>
        <v>15.518737739463592</v>
      </c>
      <c r="H287" s="17">
        <f t="shared" si="32"/>
        <v>18.188893048271389</v>
      </c>
      <c r="I287" s="17">
        <f t="shared" si="33"/>
        <v>12.848582430655794</v>
      </c>
      <c r="J287" s="17">
        <f t="shared" si="34"/>
        <v>20.859048357079189</v>
      </c>
      <c r="K287" s="17">
        <f t="shared" si="35"/>
        <v>10.178427121847996</v>
      </c>
      <c r="L287" s="17">
        <f t="shared" si="36"/>
        <v>0.68380376771103979</v>
      </c>
      <c r="M287" s="11">
        <f t="shared" si="37"/>
        <v>0.39156457345496265</v>
      </c>
    </row>
    <row r="288" spans="1:13" x14ac:dyDescent="0.2">
      <c r="A288" s="6">
        <v>44631</v>
      </c>
      <c r="B288" s="16">
        <v>17.408200000000001</v>
      </c>
      <c r="C288" s="16">
        <v>11.86</v>
      </c>
      <c r="D288" s="16">
        <v>13.880100000000001</v>
      </c>
      <c r="E288" s="16">
        <v>21.828199999999999</v>
      </c>
      <c r="F288" s="16">
        <v>11.750999999999999</v>
      </c>
      <c r="G288" s="29">
        <f t="shared" si="31"/>
        <v>15.518737739463592</v>
      </c>
      <c r="H288" s="17">
        <f t="shared" si="32"/>
        <v>18.188893048271389</v>
      </c>
      <c r="I288" s="17">
        <f t="shared" si="33"/>
        <v>12.848582430655794</v>
      </c>
      <c r="J288" s="17">
        <f t="shared" si="34"/>
        <v>20.859048357079189</v>
      </c>
      <c r="K288" s="17">
        <f t="shared" si="35"/>
        <v>10.178427121847996</v>
      </c>
      <c r="L288" s="17">
        <f t="shared" si="36"/>
        <v>0.70762260693369083</v>
      </c>
      <c r="M288" s="11">
        <f t="shared" si="37"/>
        <v>0.46780775716694789</v>
      </c>
    </row>
    <row r="289" spans="1:13" x14ac:dyDescent="0.2">
      <c r="A289" s="6">
        <v>44638</v>
      </c>
      <c r="B289" s="16">
        <v>17.468</v>
      </c>
      <c r="C289" s="16">
        <v>12.2461</v>
      </c>
      <c r="D289" s="16">
        <v>14.355</v>
      </c>
      <c r="E289" s="16">
        <v>22.611000000000001</v>
      </c>
      <c r="F289" s="16">
        <v>12.118</v>
      </c>
      <c r="G289" s="29">
        <f t="shared" si="31"/>
        <v>15.518737739463592</v>
      </c>
      <c r="H289" s="17">
        <f t="shared" si="32"/>
        <v>18.188893048271389</v>
      </c>
      <c r="I289" s="17">
        <f t="shared" si="33"/>
        <v>12.848582430655794</v>
      </c>
      <c r="J289" s="17">
        <f t="shared" si="34"/>
        <v>20.859048357079189</v>
      </c>
      <c r="K289" s="17">
        <f t="shared" si="35"/>
        <v>10.178427121847996</v>
      </c>
      <c r="L289" s="17">
        <f t="shared" si="36"/>
        <v>0.73001830796379286</v>
      </c>
      <c r="M289" s="11">
        <f t="shared" si="37"/>
        <v>0.42641330709368686</v>
      </c>
    </row>
    <row r="290" spans="1:13" x14ac:dyDescent="0.2">
      <c r="A290" s="6">
        <v>44645</v>
      </c>
      <c r="B290" s="16">
        <v>17.569600000000001</v>
      </c>
      <c r="C290" s="16">
        <v>12.085599999999999</v>
      </c>
      <c r="D290" s="16">
        <v>12.764699999999999</v>
      </c>
      <c r="E290" s="16">
        <v>22.473600000000001</v>
      </c>
      <c r="F290" s="16">
        <v>12.716200000000001</v>
      </c>
      <c r="G290" s="29">
        <f t="shared" si="31"/>
        <v>15.518737739463592</v>
      </c>
      <c r="H290" s="17">
        <f t="shared" si="32"/>
        <v>18.188893048271389</v>
      </c>
      <c r="I290" s="17">
        <f t="shared" si="33"/>
        <v>12.848582430655794</v>
      </c>
      <c r="J290" s="17">
        <f t="shared" si="34"/>
        <v>20.859048357079189</v>
      </c>
      <c r="K290" s="17">
        <f t="shared" si="35"/>
        <v>10.178427121847996</v>
      </c>
      <c r="L290" s="17">
        <f t="shared" si="36"/>
        <v>0.76806852911192702</v>
      </c>
      <c r="M290" s="11">
        <f t="shared" si="37"/>
        <v>0.45376315615277707</v>
      </c>
    </row>
    <row r="291" spans="1:13" x14ac:dyDescent="0.2">
      <c r="A291" s="6">
        <v>44652</v>
      </c>
      <c r="B291" s="16">
        <v>16.417200000000001</v>
      </c>
      <c r="C291" s="16">
        <v>12.267099999999999</v>
      </c>
      <c r="D291" s="16">
        <v>12.9968</v>
      </c>
      <c r="E291" s="16">
        <v>23.083200000000001</v>
      </c>
      <c r="F291" s="16">
        <v>11.0326</v>
      </c>
      <c r="G291" s="29">
        <f t="shared" si="31"/>
        <v>15.518737739463592</v>
      </c>
      <c r="H291" s="17">
        <f t="shared" si="32"/>
        <v>18.188893048271389</v>
      </c>
      <c r="I291" s="17">
        <f t="shared" si="33"/>
        <v>12.848582430655794</v>
      </c>
      <c r="J291" s="17">
        <f t="shared" si="34"/>
        <v>20.859048357079189</v>
      </c>
      <c r="K291" s="17">
        <f t="shared" si="35"/>
        <v>10.178427121847996</v>
      </c>
      <c r="L291" s="17">
        <f t="shared" si="36"/>
        <v>0.33648314671911894</v>
      </c>
      <c r="M291" s="11">
        <f t="shared" si="37"/>
        <v>0.3383114183466347</v>
      </c>
    </row>
    <row r="292" spans="1:13" x14ac:dyDescent="0.2">
      <c r="A292" s="6">
        <v>44659</v>
      </c>
      <c r="B292" s="16">
        <v>16.355399999999999</v>
      </c>
      <c r="C292" s="16">
        <v>12.1287</v>
      </c>
      <c r="D292" s="16">
        <v>12.840299999999999</v>
      </c>
      <c r="E292" s="16">
        <v>23.6068</v>
      </c>
      <c r="F292" s="16">
        <v>10.944000000000001</v>
      </c>
      <c r="G292" s="29">
        <f t="shared" si="31"/>
        <v>15.518737739463592</v>
      </c>
      <c r="H292" s="17">
        <f t="shared" si="32"/>
        <v>18.188893048271389</v>
      </c>
      <c r="I292" s="17">
        <f t="shared" si="33"/>
        <v>12.848582430655794</v>
      </c>
      <c r="J292" s="17">
        <f t="shared" si="34"/>
        <v>20.859048357079189</v>
      </c>
      <c r="K292" s="17">
        <f t="shared" si="35"/>
        <v>10.178427121847996</v>
      </c>
      <c r="L292" s="17">
        <f t="shared" si="36"/>
        <v>0.31333842558767483</v>
      </c>
      <c r="M292" s="11">
        <f t="shared" si="37"/>
        <v>0.34848747186425588</v>
      </c>
    </row>
    <row r="293" spans="1:13" x14ac:dyDescent="0.2">
      <c r="A293" s="6">
        <v>44666</v>
      </c>
      <c r="B293" s="16">
        <v>16.0854</v>
      </c>
      <c r="C293" s="16">
        <v>11.926</v>
      </c>
      <c r="D293" s="16">
        <v>12.643800000000001</v>
      </c>
      <c r="E293" s="16">
        <v>23.253799999999998</v>
      </c>
      <c r="F293" s="16">
        <v>10.8345</v>
      </c>
      <c r="G293" s="29">
        <f t="shared" si="31"/>
        <v>15.518737739463592</v>
      </c>
      <c r="H293" s="17">
        <f t="shared" si="32"/>
        <v>18.188893048271389</v>
      </c>
      <c r="I293" s="17">
        <f t="shared" si="33"/>
        <v>12.848582430655794</v>
      </c>
      <c r="J293" s="17">
        <f t="shared" si="34"/>
        <v>20.859048357079189</v>
      </c>
      <c r="K293" s="17">
        <f t="shared" si="35"/>
        <v>10.178427121847996</v>
      </c>
      <c r="L293" s="17">
        <f t="shared" si="36"/>
        <v>0.21222071190661096</v>
      </c>
      <c r="M293" s="11">
        <f t="shared" si="37"/>
        <v>0.34876739896025488</v>
      </c>
    </row>
    <row r="294" spans="1:13" x14ac:dyDescent="0.2">
      <c r="A294" s="6">
        <v>44673</v>
      </c>
      <c r="B294" s="16">
        <v>16.228300000000001</v>
      </c>
      <c r="C294" s="16">
        <v>11.629</v>
      </c>
      <c r="D294" s="16">
        <v>12.371700000000001</v>
      </c>
      <c r="E294" s="16">
        <v>22.9879</v>
      </c>
      <c r="F294" s="16">
        <v>10.234999999999999</v>
      </c>
      <c r="G294" s="29">
        <f t="shared" si="31"/>
        <v>15.518737739463592</v>
      </c>
      <c r="H294" s="17">
        <f t="shared" si="32"/>
        <v>18.188893048271389</v>
      </c>
      <c r="I294" s="17">
        <f t="shared" si="33"/>
        <v>12.848582430655794</v>
      </c>
      <c r="J294" s="17">
        <f t="shared" si="34"/>
        <v>20.859048357079189</v>
      </c>
      <c r="K294" s="17">
        <f t="shared" si="35"/>
        <v>10.178427121847996</v>
      </c>
      <c r="L294" s="17">
        <f t="shared" si="36"/>
        <v>0.2657381981474411</v>
      </c>
      <c r="M294" s="11">
        <f t="shared" si="37"/>
        <v>0.39550262275346126</v>
      </c>
    </row>
    <row r="295" spans="1:13" x14ac:dyDescent="0.2">
      <c r="A295" s="6">
        <v>44680</v>
      </c>
      <c r="B295" s="16">
        <v>16.514500000000002</v>
      </c>
      <c r="C295" s="16">
        <v>11.767099999999999</v>
      </c>
      <c r="D295" s="16">
        <v>12.598599999999999</v>
      </c>
      <c r="E295" s="16">
        <v>22.209599999999998</v>
      </c>
      <c r="F295" s="16">
        <v>11.0237</v>
      </c>
      <c r="G295" s="29">
        <f t="shared" si="31"/>
        <v>15.518737739463592</v>
      </c>
      <c r="H295" s="17">
        <f t="shared" si="32"/>
        <v>18.188893048271389</v>
      </c>
      <c r="I295" s="17">
        <f t="shared" si="33"/>
        <v>12.848582430655794</v>
      </c>
      <c r="J295" s="17">
        <f t="shared" si="34"/>
        <v>20.859048357079189</v>
      </c>
      <c r="K295" s="17">
        <f t="shared" si="35"/>
        <v>10.178427121847996</v>
      </c>
      <c r="L295" s="17">
        <f t="shared" si="36"/>
        <v>0.3729229746493693</v>
      </c>
      <c r="M295" s="11">
        <f t="shared" si="37"/>
        <v>0.40344689855614413</v>
      </c>
    </row>
    <row r="296" spans="1:13" x14ac:dyDescent="0.2">
      <c r="A296" s="6">
        <v>44687</v>
      </c>
      <c r="B296" s="16">
        <v>16.4129</v>
      </c>
      <c r="C296" s="16">
        <v>11.3512</v>
      </c>
      <c r="D296" s="16">
        <v>12.147500000000001</v>
      </c>
      <c r="E296" s="16">
        <v>20.805099999999999</v>
      </c>
      <c r="F296" s="16">
        <v>10.4823</v>
      </c>
      <c r="G296" s="29">
        <f t="shared" si="31"/>
        <v>15.518737739463592</v>
      </c>
      <c r="H296" s="17">
        <f t="shared" si="32"/>
        <v>18.188893048271389</v>
      </c>
      <c r="I296" s="17">
        <f t="shared" si="33"/>
        <v>12.848582430655794</v>
      </c>
      <c r="J296" s="17">
        <f t="shared" si="34"/>
        <v>20.859048357079189</v>
      </c>
      <c r="K296" s="17">
        <f t="shared" si="35"/>
        <v>10.178427121847996</v>
      </c>
      <c r="L296" s="17">
        <f t="shared" si="36"/>
        <v>0.33487275350123508</v>
      </c>
      <c r="M296" s="11">
        <f t="shared" si="37"/>
        <v>0.44591761223482984</v>
      </c>
    </row>
    <row r="297" spans="1:13" x14ac:dyDescent="0.2">
      <c r="A297" s="6">
        <v>44694</v>
      </c>
      <c r="B297" s="16">
        <v>14.761699999999999</v>
      </c>
      <c r="C297" s="16">
        <v>11.1745</v>
      </c>
      <c r="D297" s="16">
        <v>12.015000000000001</v>
      </c>
      <c r="E297" s="16">
        <v>19.903400000000001</v>
      </c>
      <c r="F297" s="16">
        <v>10.6013</v>
      </c>
      <c r="G297" s="29">
        <f t="shared" si="31"/>
        <v>15.518737739463592</v>
      </c>
      <c r="H297" s="17">
        <f t="shared" si="32"/>
        <v>18.188893048271389</v>
      </c>
      <c r="I297" s="17">
        <f t="shared" si="33"/>
        <v>12.848582430655794</v>
      </c>
      <c r="J297" s="17">
        <f t="shared" si="34"/>
        <v>20.859048357079189</v>
      </c>
      <c r="K297" s="17">
        <f t="shared" si="35"/>
        <v>10.178427121847996</v>
      </c>
      <c r="L297" s="17">
        <f t="shared" si="36"/>
        <v>-0.2835182421660723</v>
      </c>
      <c r="M297" s="11">
        <f t="shared" si="37"/>
        <v>0.3210166002953152</v>
      </c>
    </row>
    <row r="298" spans="1:13" x14ac:dyDescent="0.2">
      <c r="A298" s="6">
        <v>44701</v>
      </c>
      <c r="B298" s="16">
        <v>14.953900000000001</v>
      </c>
      <c r="C298" s="16">
        <v>11.5052</v>
      </c>
      <c r="D298" s="16">
        <v>12.472099999999999</v>
      </c>
      <c r="E298" s="16">
        <v>20.462700000000002</v>
      </c>
      <c r="F298" s="16">
        <v>11.119300000000001</v>
      </c>
      <c r="G298" s="29">
        <f t="shared" si="31"/>
        <v>15.518737739463592</v>
      </c>
      <c r="H298" s="17">
        <f t="shared" si="32"/>
        <v>18.188893048271389</v>
      </c>
      <c r="I298" s="17">
        <f t="shared" si="33"/>
        <v>12.848582430655794</v>
      </c>
      <c r="J298" s="17">
        <f t="shared" si="34"/>
        <v>20.859048357079189</v>
      </c>
      <c r="K298" s="17">
        <f t="shared" si="35"/>
        <v>10.178427121847996</v>
      </c>
      <c r="L298" s="17">
        <f t="shared" si="36"/>
        <v>-0.21153741042718102</v>
      </c>
      <c r="M298" s="11">
        <f t="shared" si="37"/>
        <v>0.29975141675068673</v>
      </c>
    </row>
    <row r="299" spans="1:13" x14ac:dyDescent="0.2">
      <c r="A299" s="6">
        <v>44708</v>
      </c>
      <c r="B299" s="16">
        <v>15.1755</v>
      </c>
      <c r="C299" s="16">
        <v>11.487</v>
      </c>
      <c r="D299" s="16">
        <v>12.4406</v>
      </c>
      <c r="E299" s="16">
        <v>20.414400000000001</v>
      </c>
      <c r="F299" s="16">
        <v>11.0663</v>
      </c>
      <c r="G299" s="29">
        <f t="shared" si="31"/>
        <v>15.518737739463592</v>
      </c>
      <c r="H299" s="17">
        <f t="shared" si="32"/>
        <v>18.188893048271389</v>
      </c>
      <c r="I299" s="17">
        <f t="shared" si="33"/>
        <v>12.848582430655794</v>
      </c>
      <c r="J299" s="17">
        <f t="shared" si="34"/>
        <v>20.859048357079189</v>
      </c>
      <c r="K299" s="17">
        <f t="shared" si="35"/>
        <v>10.178427121847996</v>
      </c>
      <c r="L299" s="17">
        <f t="shared" si="36"/>
        <v>-0.12854598319857491</v>
      </c>
      <c r="M299" s="11">
        <f t="shared" si="37"/>
        <v>0.32110211543483924</v>
      </c>
    </row>
    <row r="300" spans="1:13" x14ac:dyDescent="0.2">
      <c r="A300" s="6">
        <v>44715</v>
      </c>
      <c r="B300" s="16">
        <v>15.217499999999999</v>
      </c>
      <c r="C300" s="16">
        <v>11.674099999999999</v>
      </c>
      <c r="D300" s="16">
        <v>12.706300000000001</v>
      </c>
      <c r="E300" s="16">
        <v>21.281099999999999</v>
      </c>
      <c r="F300" s="16">
        <v>11.583299999999999</v>
      </c>
      <c r="G300" s="29">
        <f t="shared" si="31"/>
        <v>15.518737739463592</v>
      </c>
      <c r="H300" s="17">
        <f t="shared" si="32"/>
        <v>18.188893048271389</v>
      </c>
      <c r="I300" s="17">
        <f t="shared" si="33"/>
        <v>12.848582430655794</v>
      </c>
      <c r="J300" s="17">
        <f t="shared" si="34"/>
        <v>20.859048357079189</v>
      </c>
      <c r="K300" s="17">
        <f t="shared" si="35"/>
        <v>10.178427121847996</v>
      </c>
      <c r="L300" s="17">
        <f t="shared" si="36"/>
        <v>-0.11281656107040945</v>
      </c>
      <c r="M300" s="11">
        <f t="shared" si="37"/>
        <v>0.3035266101883658</v>
      </c>
    </row>
    <row r="301" spans="1:13" x14ac:dyDescent="0.2">
      <c r="A301" s="6">
        <v>44722</v>
      </c>
      <c r="B301" s="16">
        <v>14.7029</v>
      </c>
      <c r="C301" s="16">
        <v>11.6914</v>
      </c>
      <c r="D301" s="16">
        <v>12.869899999999999</v>
      </c>
      <c r="E301" s="16">
        <v>21.031600000000001</v>
      </c>
      <c r="F301" s="16">
        <v>12.364000000000001</v>
      </c>
      <c r="G301" s="29">
        <f t="shared" si="31"/>
        <v>15.518737739463592</v>
      </c>
      <c r="H301" s="17">
        <f t="shared" si="32"/>
        <v>18.188893048271389</v>
      </c>
      <c r="I301" s="17">
        <f t="shared" si="33"/>
        <v>12.848582430655794</v>
      </c>
      <c r="J301" s="17">
        <f t="shared" si="34"/>
        <v>20.859048357079189</v>
      </c>
      <c r="K301" s="17">
        <f t="shared" si="35"/>
        <v>10.178427121847996</v>
      </c>
      <c r="L301" s="17">
        <f t="shared" si="36"/>
        <v>-0.30553943314550397</v>
      </c>
      <c r="M301" s="11">
        <f t="shared" si="37"/>
        <v>0.25758249653591525</v>
      </c>
    </row>
    <row r="302" spans="1:13" x14ac:dyDescent="0.2">
      <c r="A302" s="6">
        <v>44729</v>
      </c>
      <c r="B302" s="16">
        <v>14.366</v>
      </c>
      <c r="C302" s="16">
        <v>11.190899999999999</v>
      </c>
      <c r="D302" s="16">
        <v>12.317399999999999</v>
      </c>
      <c r="E302" s="16">
        <v>19.846699999999998</v>
      </c>
      <c r="F302" s="16">
        <v>12.018800000000001</v>
      </c>
      <c r="G302" s="29">
        <f t="shared" si="31"/>
        <v>15.518737739463592</v>
      </c>
      <c r="H302" s="17">
        <f t="shared" si="32"/>
        <v>18.188893048271389</v>
      </c>
      <c r="I302" s="17">
        <f t="shared" si="33"/>
        <v>12.848582430655794</v>
      </c>
      <c r="J302" s="17">
        <f t="shared" si="34"/>
        <v>20.859048357079189</v>
      </c>
      <c r="K302" s="17">
        <f t="shared" si="35"/>
        <v>10.178427121847996</v>
      </c>
      <c r="L302" s="17">
        <f t="shared" si="36"/>
        <v>-0.43171186921643157</v>
      </c>
      <c r="M302" s="11">
        <f t="shared" si="37"/>
        <v>0.28372159522469165</v>
      </c>
    </row>
    <row r="303" spans="1:13" x14ac:dyDescent="0.2">
      <c r="A303" s="6">
        <v>44736</v>
      </c>
      <c r="B303" s="16">
        <v>14.526999999999999</v>
      </c>
      <c r="C303" s="16">
        <v>11.3687</v>
      </c>
      <c r="D303" s="16">
        <v>12.6066</v>
      </c>
      <c r="E303" s="16">
        <v>20.405799999999999</v>
      </c>
      <c r="F303" s="16">
        <v>12.7483</v>
      </c>
      <c r="G303" s="29">
        <f t="shared" si="31"/>
        <v>15.518737739463592</v>
      </c>
      <c r="H303" s="17">
        <f t="shared" si="32"/>
        <v>18.188893048271389</v>
      </c>
      <c r="I303" s="17">
        <f t="shared" si="33"/>
        <v>12.848582430655794</v>
      </c>
      <c r="J303" s="17">
        <f t="shared" si="34"/>
        <v>20.859048357079189</v>
      </c>
      <c r="K303" s="17">
        <f t="shared" si="35"/>
        <v>10.178427121847996</v>
      </c>
      <c r="L303" s="17">
        <f t="shared" si="36"/>
        <v>-0.37141575105846392</v>
      </c>
      <c r="M303" s="11">
        <f t="shared" si="37"/>
        <v>0.27780660937486235</v>
      </c>
    </row>
    <row r="304" spans="1:13" x14ac:dyDescent="0.2">
      <c r="A304" s="6">
        <v>44743</v>
      </c>
      <c r="B304" s="16">
        <v>13.903600000000001</v>
      </c>
      <c r="C304" s="16">
        <v>11.257400000000001</v>
      </c>
      <c r="D304" s="16">
        <v>12.476100000000001</v>
      </c>
      <c r="E304" s="16">
        <v>20.308299999999999</v>
      </c>
      <c r="F304" s="16">
        <v>12.6808</v>
      </c>
      <c r="G304" s="29">
        <f t="shared" si="31"/>
        <v>15.518737739463592</v>
      </c>
      <c r="H304" s="17">
        <f t="shared" si="32"/>
        <v>18.188893048271389</v>
      </c>
      <c r="I304" s="17">
        <f t="shared" si="33"/>
        <v>12.848582430655794</v>
      </c>
      <c r="J304" s="17">
        <f t="shared" si="34"/>
        <v>20.859048357079189</v>
      </c>
      <c r="K304" s="17">
        <f t="shared" si="35"/>
        <v>10.178427121847996</v>
      </c>
      <c r="L304" s="17">
        <f t="shared" si="36"/>
        <v>-0.60488531664652001</v>
      </c>
      <c r="M304" s="11">
        <f t="shared" si="37"/>
        <v>0.23506315845577141</v>
      </c>
    </row>
    <row r="305" spans="1:13" x14ac:dyDescent="0.2">
      <c r="A305" s="6">
        <v>44750</v>
      </c>
      <c r="B305" s="16">
        <v>13.873900000000001</v>
      </c>
      <c r="C305" s="16">
        <v>11.3963</v>
      </c>
      <c r="D305" s="16">
        <v>12.6188</v>
      </c>
      <c r="E305" s="16">
        <v>21.287600000000001</v>
      </c>
      <c r="F305" s="16">
        <v>12.6386</v>
      </c>
      <c r="G305" s="29">
        <f t="shared" si="31"/>
        <v>15.518737739463592</v>
      </c>
      <c r="H305" s="17">
        <f t="shared" si="32"/>
        <v>18.188893048271389</v>
      </c>
      <c r="I305" s="17">
        <f t="shared" si="33"/>
        <v>12.848582430655794</v>
      </c>
      <c r="J305" s="17">
        <f t="shared" si="34"/>
        <v>20.859048357079189</v>
      </c>
      <c r="K305" s="17">
        <f t="shared" si="35"/>
        <v>10.178427121847996</v>
      </c>
      <c r="L305" s="17">
        <f t="shared" si="36"/>
        <v>-0.61600826515143714</v>
      </c>
      <c r="M305" s="11">
        <f t="shared" si="37"/>
        <v>0.21740389424637829</v>
      </c>
    </row>
    <row r="306" spans="1:13" x14ac:dyDescent="0.2">
      <c r="A306" s="6">
        <v>44757</v>
      </c>
      <c r="B306" s="16">
        <v>13.4619</v>
      </c>
      <c r="C306" s="16">
        <v>11.019500000000001</v>
      </c>
      <c r="D306" s="16">
        <v>12.1553</v>
      </c>
      <c r="E306" s="16">
        <v>21.2044</v>
      </c>
      <c r="F306" s="16">
        <v>11.7859</v>
      </c>
      <c r="G306" s="29">
        <f t="shared" si="31"/>
        <v>15.518737739463592</v>
      </c>
      <c r="H306" s="17">
        <f t="shared" si="32"/>
        <v>18.188893048271389</v>
      </c>
      <c r="I306" s="17">
        <f t="shared" si="33"/>
        <v>12.848582430655794</v>
      </c>
      <c r="J306" s="17">
        <f t="shared" si="34"/>
        <v>20.859048357079189</v>
      </c>
      <c r="K306" s="17">
        <f t="shared" si="35"/>
        <v>10.178427121847996</v>
      </c>
      <c r="L306" s="17">
        <f t="shared" si="36"/>
        <v>-0.77030640602772771</v>
      </c>
      <c r="M306" s="11">
        <f t="shared" si="37"/>
        <v>0.22164345024728882</v>
      </c>
    </row>
    <row r="307" spans="1:13" x14ac:dyDescent="0.2">
      <c r="A307" s="6">
        <v>44764</v>
      </c>
      <c r="B307" s="16">
        <v>14.171900000000001</v>
      </c>
      <c r="C307" s="16">
        <v>11.334300000000001</v>
      </c>
      <c r="D307" s="16">
        <v>12.456</v>
      </c>
      <c r="E307" s="16">
        <v>22.2285</v>
      </c>
      <c r="F307" s="16">
        <v>11.964600000000001</v>
      </c>
      <c r="G307" s="29">
        <f t="shared" si="31"/>
        <v>15.518737739463592</v>
      </c>
      <c r="H307" s="17">
        <f t="shared" si="32"/>
        <v>18.188893048271389</v>
      </c>
      <c r="I307" s="17">
        <f t="shared" si="33"/>
        <v>12.848582430655794</v>
      </c>
      <c r="J307" s="17">
        <f t="shared" si="34"/>
        <v>20.859048357079189</v>
      </c>
      <c r="K307" s="17">
        <f t="shared" si="35"/>
        <v>10.178427121847996</v>
      </c>
      <c r="L307" s="17">
        <f t="shared" si="36"/>
        <v>-0.50440427005159605</v>
      </c>
      <c r="M307" s="11">
        <f t="shared" si="37"/>
        <v>0.25035511676945199</v>
      </c>
    </row>
    <row r="308" spans="1:13" x14ac:dyDescent="0.2">
      <c r="A308" s="6">
        <v>44771</v>
      </c>
      <c r="B308" s="16">
        <v>14.199</v>
      </c>
      <c r="C308" s="16">
        <v>11.337</v>
      </c>
      <c r="D308" s="16">
        <v>12.4536</v>
      </c>
      <c r="E308" s="16">
        <v>22.794499999999999</v>
      </c>
      <c r="F308" s="16">
        <v>11.577400000000001</v>
      </c>
      <c r="G308" s="29">
        <f t="shared" si="31"/>
        <v>15.518737739463592</v>
      </c>
      <c r="H308" s="17">
        <f t="shared" si="32"/>
        <v>18.188893048271389</v>
      </c>
      <c r="I308" s="17">
        <f t="shared" si="33"/>
        <v>12.848582430655794</v>
      </c>
      <c r="J308" s="17">
        <f t="shared" si="34"/>
        <v>20.859048357079189</v>
      </c>
      <c r="K308" s="17">
        <f t="shared" si="35"/>
        <v>10.178427121847996</v>
      </c>
      <c r="L308" s="17">
        <f t="shared" si="36"/>
        <v>-0.49425504767842293</v>
      </c>
      <c r="M308" s="11">
        <f t="shared" si="37"/>
        <v>0.25244773749669225</v>
      </c>
    </row>
    <row r="309" spans="1:13" x14ac:dyDescent="0.2">
      <c r="A309" s="6">
        <v>44778</v>
      </c>
      <c r="B309" s="16">
        <v>14.5931</v>
      </c>
      <c r="C309" s="16">
        <v>11.462899999999999</v>
      </c>
      <c r="D309" s="16">
        <v>12.6281</v>
      </c>
      <c r="E309" s="16">
        <v>23.2333</v>
      </c>
      <c r="F309" s="16">
        <v>11.6957</v>
      </c>
      <c r="G309" s="29">
        <f t="shared" si="31"/>
        <v>15.518737739463592</v>
      </c>
      <c r="H309" s="17">
        <f t="shared" si="32"/>
        <v>18.188893048271389</v>
      </c>
      <c r="I309" s="17">
        <f t="shared" si="33"/>
        <v>12.848582430655794</v>
      </c>
      <c r="J309" s="17">
        <f t="shared" si="34"/>
        <v>20.859048357079189</v>
      </c>
      <c r="K309" s="17">
        <f t="shared" si="35"/>
        <v>10.178427121847996</v>
      </c>
      <c r="L309" s="17">
        <f t="shared" si="36"/>
        <v>-0.3466606367091366</v>
      </c>
      <c r="M309" s="11">
        <f t="shared" si="37"/>
        <v>0.27307225920142386</v>
      </c>
    </row>
    <row r="310" spans="1:13" x14ac:dyDescent="0.2">
      <c r="A310" s="6">
        <v>44785</v>
      </c>
      <c r="B310" s="16">
        <v>14.486499999999999</v>
      </c>
      <c r="C310" s="16">
        <v>11.5708</v>
      </c>
      <c r="D310" s="16">
        <v>12.703200000000001</v>
      </c>
      <c r="E310" s="16">
        <v>23.6172</v>
      </c>
      <c r="F310" s="16">
        <v>11.684699999999999</v>
      </c>
      <c r="G310" s="29">
        <f t="shared" si="31"/>
        <v>15.518737739463592</v>
      </c>
      <c r="H310" s="17">
        <f t="shared" si="32"/>
        <v>18.188893048271389</v>
      </c>
      <c r="I310" s="17">
        <f t="shared" si="33"/>
        <v>12.848582430655794</v>
      </c>
      <c r="J310" s="17">
        <f t="shared" si="34"/>
        <v>20.859048357079189</v>
      </c>
      <c r="K310" s="17">
        <f t="shared" si="35"/>
        <v>10.178427121847996</v>
      </c>
      <c r="L310" s="17">
        <f t="shared" si="36"/>
        <v>-0.38658340811062347</v>
      </c>
      <c r="M310" s="11">
        <f t="shared" si="37"/>
        <v>0.25198776229819875</v>
      </c>
    </row>
    <row r="311" spans="1:13" x14ac:dyDescent="0.2">
      <c r="A311" s="6">
        <v>44792</v>
      </c>
      <c r="B311" s="16">
        <v>14.3842</v>
      </c>
      <c r="C311" s="16">
        <v>11.502000000000001</v>
      </c>
      <c r="D311" s="16">
        <v>12.631399999999999</v>
      </c>
      <c r="E311" s="16">
        <v>23.459199999999999</v>
      </c>
      <c r="F311" s="16">
        <v>11.5464</v>
      </c>
      <c r="G311" s="29">
        <f t="shared" si="31"/>
        <v>15.518737739463592</v>
      </c>
      <c r="H311" s="17">
        <f t="shared" si="32"/>
        <v>18.188893048271389</v>
      </c>
      <c r="I311" s="17">
        <f t="shared" si="33"/>
        <v>12.848582430655794</v>
      </c>
      <c r="J311" s="17">
        <f t="shared" si="34"/>
        <v>20.859048357079189</v>
      </c>
      <c r="K311" s="17">
        <f t="shared" si="35"/>
        <v>10.178427121847996</v>
      </c>
      <c r="L311" s="17">
        <f t="shared" si="36"/>
        <v>-0.42489578629422647</v>
      </c>
      <c r="M311" s="11">
        <f t="shared" si="37"/>
        <v>0.25058250739001897</v>
      </c>
    </row>
    <row r="312" spans="1:13" x14ac:dyDescent="0.2">
      <c r="A312" s="6">
        <v>44799</v>
      </c>
      <c r="B312" s="16">
        <v>14.2279</v>
      </c>
      <c r="C312" s="16">
        <v>11.6069</v>
      </c>
      <c r="D312" s="16">
        <v>12.8126</v>
      </c>
      <c r="E312" s="16">
        <v>23.202100000000002</v>
      </c>
      <c r="F312" s="16">
        <v>12.039199999999999</v>
      </c>
      <c r="G312" s="29">
        <f t="shared" si="31"/>
        <v>15.518737739463592</v>
      </c>
      <c r="H312" s="17">
        <f t="shared" si="32"/>
        <v>18.188893048271389</v>
      </c>
      <c r="I312" s="17">
        <f t="shared" si="33"/>
        <v>12.848582430655794</v>
      </c>
      <c r="J312" s="17">
        <f t="shared" si="34"/>
        <v>20.859048357079189</v>
      </c>
      <c r="K312" s="17">
        <f t="shared" si="35"/>
        <v>10.178427121847996</v>
      </c>
      <c r="L312" s="17">
        <f t="shared" si="36"/>
        <v>-0.48343170721404233</v>
      </c>
      <c r="M312" s="11">
        <f t="shared" si="37"/>
        <v>0.22581395549199179</v>
      </c>
    </row>
    <row r="313" spans="1:13" x14ac:dyDescent="0.2">
      <c r="A313" s="6">
        <v>44806</v>
      </c>
      <c r="B313" s="16">
        <v>14.3223</v>
      </c>
      <c r="C313" s="16">
        <v>11.3034</v>
      </c>
      <c r="D313" s="16">
        <v>12.5433</v>
      </c>
      <c r="E313" s="16">
        <v>23.074400000000001</v>
      </c>
      <c r="F313" s="16">
        <v>11.851100000000001</v>
      </c>
      <c r="G313" s="29">
        <f t="shared" si="31"/>
        <v>15.518737739463592</v>
      </c>
      <c r="H313" s="17">
        <f t="shared" si="32"/>
        <v>18.188893048271389</v>
      </c>
      <c r="I313" s="17">
        <f t="shared" si="33"/>
        <v>12.848582430655794</v>
      </c>
      <c r="J313" s="17">
        <f t="shared" si="34"/>
        <v>20.859048357079189</v>
      </c>
      <c r="K313" s="17">
        <f t="shared" si="35"/>
        <v>10.178427121847996</v>
      </c>
      <c r="L313" s="17">
        <f t="shared" si="36"/>
        <v>-0.44807795843073689</v>
      </c>
      <c r="M313" s="11">
        <f t="shared" si="37"/>
        <v>0.26707893200276023</v>
      </c>
    </row>
    <row r="314" spans="1:13" x14ac:dyDescent="0.2">
      <c r="A314" s="6">
        <v>44813</v>
      </c>
      <c r="B314" s="16">
        <v>14.5006</v>
      </c>
      <c r="C314" s="16">
        <v>11.3725</v>
      </c>
      <c r="D314" s="16">
        <v>12.6435</v>
      </c>
      <c r="E314" s="16">
        <v>23.407499999999999</v>
      </c>
      <c r="F314" s="16">
        <v>11.908099999999999</v>
      </c>
      <c r="G314" s="29">
        <f t="shared" si="31"/>
        <v>15.518737739463592</v>
      </c>
      <c r="H314" s="17">
        <f t="shared" si="32"/>
        <v>18.188893048271389</v>
      </c>
      <c r="I314" s="17">
        <f t="shared" si="33"/>
        <v>12.848582430655794</v>
      </c>
      <c r="J314" s="17">
        <f t="shared" si="34"/>
        <v>20.859048357079189</v>
      </c>
      <c r="K314" s="17">
        <f t="shared" si="35"/>
        <v>10.178427121847996</v>
      </c>
      <c r="L314" s="17">
        <f t="shared" si="36"/>
        <v>-0.38130281639616753</v>
      </c>
      <c r="M314" s="11">
        <f t="shared" si="37"/>
        <v>0.27505825456144195</v>
      </c>
    </row>
    <row r="315" spans="1:13" x14ac:dyDescent="0.2">
      <c r="A315" s="6">
        <v>44820</v>
      </c>
      <c r="B315" s="16">
        <v>14.4788</v>
      </c>
      <c r="C315" s="16">
        <v>11.0761</v>
      </c>
      <c r="D315" s="16">
        <v>12.3622</v>
      </c>
      <c r="E315" s="16">
        <v>22.969799999999999</v>
      </c>
      <c r="F315" s="16">
        <v>11.4221</v>
      </c>
      <c r="G315" s="29">
        <f t="shared" si="31"/>
        <v>15.518737739463592</v>
      </c>
      <c r="H315" s="17">
        <f t="shared" si="32"/>
        <v>18.188893048271389</v>
      </c>
      <c r="I315" s="17">
        <f t="shared" si="33"/>
        <v>12.848582430655794</v>
      </c>
      <c r="J315" s="17">
        <f t="shared" si="34"/>
        <v>20.859048357079189</v>
      </c>
      <c r="K315" s="17">
        <f t="shared" si="35"/>
        <v>10.178427121847996</v>
      </c>
      <c r="L315" s="17">
        <f t="shared" si="36"/>
        <v>-0.38946713550078704</v>
      </c>
      <c r="M315" s="11">
        <f t="shared" si="37"/>
        <v>0.30721102193010164</v>
      </c>
    </row>
    <row r="316" spans="1:13" x14ac:dyDescent="0.2">
      <c r="A316" s="6">
        <v>44827</v>
      </c>
      <c r="B316" s="16">
        <v>14.5512</v>
      </c>
      <c r="C316" s="16">
        <v>10.7014</v>
      </c>
      <c r="D316" s="16">
        <v>11.9514</v>
      </c>
      <c r="E316" s="16">
        <v>22.7164</v>
      </c>
      <c r="F316" s="16">
        <v>10.884</v>
      </c>
      <c r="G316" s="29">
        <f t="shared" si="31"/>
        <v>15.518737739463592</v>
      </c>
      <c r="H316" s="17">
        <f t="shared" si="32"/>
        <v>18.188893048271389</v>
      </c>
      <c r="I316" s="17">
        <f t="shared" si="33"/>
        <v>12.848582430655794</v>
      </c>
      <c r="J316" s="17">
        <f t="shared" si="34"/>
        <v>20.859048357079189</v>
      </c>
      <c r="K316" s="17">
        <f t="shared" si="35"/>
        <v>10.178427121847996</v>
      </c>
      <c r="L316" s="17">
        <f t="shared" si="36"/>
        <v>-0.36235260783223505</v>
      </c>
      <c r="M316" s="11">
        <f t="shared" si="37"/>
        <v>0.35974732278019705</v>
      </c>
    </row>
    <row r="317" spans="1:13" x14ac:dyDescent="0.2">
      <c r="A317" s="6">
        <v>44834</v>
      </c>
      <c r="B317" s="16">
        <v>14.363799999999999</v>
      </c>
      <c r="C317" s="16">
        <v>10.5161</v>
      </c>
      <c r="D317" s="16">
        <v>11.710900000000001</v>
      </c>
      <c r="E317" s="16">
        <v>22.2258</v>
      </c>
      <c r="F317" s="16">
        <v>10.7585</v>
      </c>
      <c r="G317" s="29">
        <f t="shared" si="31"/>
        <v>15.518737739463592</v>
      </c>
      <c r="H317" s="17">
        <f t="shared" si="32"/>
        <v>18.188893048271389</v>
      </c>
      <c r="I317" s="17">
        <f t="shared" si="33"/>
        <v>12.848582430655794</v>
      </c>
      <c r="J317" s="17">
        <f t="shared" si="34"/>
        <v>20.859048357079189</v>
      </c>
      <c r="K317" s="17">
        <f t="shared" si="35"/>
        <v>10.178427121847996</v>
      </c>
      <c r="L317" s="17">
        <f t="shared" si="36"/>
        <v>-0.43253579132790698</v>
      </c>
      <c r="M317" s="11">
        <f t="shared" si="37"/>
        <v>0.36588659293844672</v>
      </c>
    </row>
    <row r="318" spans="1:13" x14ac:dyDescent="0.2">
      <c r="A318" s="6">
        <v>44841</v>
      </c>
      <c r="B318" s="16">
        <v>14.0844</v>
      </c>
      <c r="C318" s="16">
        <v>10.782400000000001</v>
      </c>
      <c r="D318" s="16">
        <v>11.9642</v>
      </c>
      <c r="E318" s="16">
        <v>22.558900000000001</v>
      </c>
      <c r="F318" s="16">
        <v>10.924799999999999</v>
      </c>
      <c r="G318" s="29">
        <f t="shared" si="31"/>
        <v>15.518737739463592</v>
      </c>
      <c r="H318" s="17">
        <f t="shared" si="32"/>
        <v>18.188893048271389</v>
      </c>
      <c r="I318" s="17">
        <f t="shared" si="33"/>
        <v>12.848582430655794</v>
      </c>
      <c r="J318" s="17">
        <f t="shared" si="34"/>
        <v>20.859048357079189</v>
      </c>
      <c r="K318" s="17">
        <f t="shared" si="35"/>
        <v>10.178427121847996</v>
      </c>
      <c r="L318" s="17">
        <f t="shared" si="36"/>
        <v>-0.53717389948527439</v>
      </c>
      <c r="M318" s="11">
        <f t="shared" si="37"/>
        <v>0.30623979818964231</v>
      </c>
    </row>
    <row r="319" spans="1:13" x14ac:dyDescent="0.2">
      <c r="A319" s="6">
        <v>44848</v>
      </c>
      <c r="B319" s="16">
        <v>13.7583</v>
      </c>
      <c r="C319" s="16">
        <v>10.4617</v>
      </c>
      <c r="D319" s="16">
        <v>11.5511</v>
      </c>
      <c r="E319" s="16">
        <v>22.534700000000001</v>
      </c>
      <c r="F319" s="16">
        <v>10.337</v>
      </c>
      <c r="G319" s="29">
        <f t="shared" si="31"/>
        <v>15.518737739463592</v>
      </c>
      <c r="H319" s="17">
        <f t="shared" si="32"/>
        <v>18.188893048271389</v>
      </c>
      <c r="I319" s="17">
        <f t="shared" si="33"/>
        <v>12.848582430655794</v>
      </c>
      <c r="J319" s="17">
        <f t="shared" si="34"/>
        <v>20.859048357079189</v>
      </c>
      <c r="K319" s="17">
        <f t="shared" si="35"/>
        <v>10.178427121847996</v>
      </c>
      <c r="L319" s="17">
        <f t="shared" si="36"/>
        <v>-0.65930162700895956</v>
      </c>
      <c r="M319" s="11">
        <f t="shared" si="37"/>
        <v>0.31511131078123045</v>
      </c>
    </row>
    <row r="320" spans="1:13" x14ac:dyDescent="0.2">
      <c r="A320" s="6">
        <v>44855</v>
      </c>
      <c r="B320" s="16">
        <v>14.258100000000001</v>
      </c>
      <c r="C320" s="16">
        <v>10.5138</v>
      </c>
      <c r="D320" s="16">
        <v>11.456300000000001</v>
      </c>
      <c r="E320" s="16">
        <v>22.982600000000001</v>
      </c>
      <c r="F320" s="16">
        <v>10.124599999999999</v>
      </c>
      <c r="G320" s="29">
        <f t="shared" si="31"/>
        <v>15.518737739463592</v>
      </c>
      <c r="H320" s="17">
        <f t="shared" si="32"/>
        <v>18.188893048271389</v>
      </c>
      <c r="I320" s="17">
        <f t="shared" si="33"/>
        <v>12.848582430655794</v>
      </c>
      <c r="J320" s="17">
        <f t="shared" si="34"/>
        <v>20.859048357079189</v>
      </c>
      <c r="K320" s="17">
        <f t="shared" si="35"/>
        <v>10.178427121847996</v>
      </c>
      <c r="L320" s="17">
        <f t="shared" si="36"/>
        <v>-0.47212150368378974</v>
      </c>
      <c r="M320" s="11">
        <f t="shared" si="37"/>
        <v>0.35613194087770372</v>
      </c>
    </row>
    <row r="321" spans="1:13" x14ac:dyDescent="0.2">
      <c r="A321" s="6">
        <v>44862</v>
      </c>
      <c r="B321" s="16">
        <v>14.3355</v>
      </c>
      <c r="C321" s="16">
        <v>10.3467</v>
      </c>
      <c r="D321" s="16">
        <v>11.2232</v>
      </c>
      <c r="E321" s="16">
        <v>24.002400000000002</v>
      </c>
      <c r="F321" s="16">
        <v>9.3201999999999998</v>
      </c>
      <c r="G321" s="29">
        <f t="shared" si="31"/>
        <v>15.518737739463592</v>
      </c>
      <c r="H321" s="17">
        <f t="shared" si="32"/>
        <v>18.188893048271389</v>
      </c>
      <c r="I321" s="17">
        <f t="shared" si="33"/>
        <v>12.848582430655794</v>
      </c>
      <c r="J321" s="17">
        <f t="shared" si="34"/>
        <v>20.859048357079189</v>
      </c>
      <c r="K321" s="17">
        <f t="shared" si="35"/>
        <v>10.178427121847996</v>
      </c>
      <c r="L321" s="17">
        <f t="shared" si="36"/>
        <v>-0.44313442576188511</v>
      </c>
      <c r="M321" s="11">
        <f t="shared" si="37"/>
        <v>0.3855142219258314</v>
      </c>
    </row>
    <row r="322" spans="1:13" x14ac:dyDescent="0.2">
      <c r="A322" s="6">
        <v>44869</v>
      </c>
      <c r="B322" s="16">
        <v>14.234500000000001</v>
      </c>
      <c r="C322" s="16">
        <v>10.828799999999999</v>
      </c>
      <c r="D322" s="16">
        <v>11.8733</v>
      </c>
      <c r="E322" s="16">
        <v>24.31</v>
      </c>
      <c r="F322" s="16">
        <v>10.3506</v>
      </c>
      <c r="G322" s="29">
        <f t="shared" si="31"/>
        <v>15.518737739463592</v>
      </c>
      <c r="H322" s="17">
        <f t="shared" si="32"/>
        <v>18.188893048271389</v>
      </c>
      <c r="I322" s="17">
        <f t="shared" si="33"/>
        <v>12.848582430655794</v>
      </c>
      <c r="J322" s="17">
        <f t="shared" si="34"/>
        <v>20.859048357079189</v>
      </c>
      <c r="K322" s="17">
        <f t="shared" si="35"/>
        <v>10.178427121847996</v>
      </c>
      <c r="L322" s="17">
        <f t="shared" si="36"/>
        <v>-0.48095994087961613</v>
      </c>
      <c r="M322" s="11">
        <f t="shared" si="37"/>
        <v>0.31450391548463363</v>
      </c>
    </row>
    <row r="323" spans="1:13" x14ac:dyDescent="0.2">
      <c r="A323" s="6">
        <v>44876</v>
      </c>
      <c r="B323" s="16">
        <v>14.3864</v>
      </c>
      <c r="C323" s="16">
        <v>11.373699999999999</v>
      </c>
      <c r="D323" s="16">
        <v>12.6425</v>
      </c>
      <c r="E323" s="16">
        <v>24.525600000000001</v>
      </c>
      <c r="F323" s="16">
        <v>10.898199999999999</v>
      </c>
      <c r="G323" s="29">
        <f t="shared" si="31"/>
        <v>15.518737739463592</v>
      </c>
      <c r="H323" s="17">
        <f t="shared" si="32"/>
        <v>18.188893048271389</v>
      </c>
      <c r="I323" s="17">
        <f t="shared" si="33"/>
        <v>12.848582430655794</v>
      </c>
      <c r="J323" s="17">
        <f t="shared" si="34"/>
        <v>20.859048357079189</v>
      </c>
      <c r="K323" s="17">
        <f t="shared" si="35"/>
        <v>10.178427121847996</v>
      </c>
      <c r="L323" s="17">
        <f t="shared" si="36"/>
        <v>-0.42407186418275106</v>
      </c>
      <c r="M323" s="11">
        <f t="shared" si="37"/>
        <v>0.26488301959784422</v>
      </c>
    </row>
    <row r="324" spans="1:13" x14ac:dyDescent="0.2">
      <c r="A324" s="6">
        <v>44883</v>
      </c>
      <c r="B324" s="16">
        <v>14.236499999999999</v>
      </c>
      <c r="C324" s="16">
        <v>11.451700000000001</v>
      </c>
      <c r="D324" s="16">
        <v>12.814</v>
      </c>
      <c r="E324" s="16">
        <v>24.407800000000002</v>
      </c>
      <c r="F324" s="16">
        <v>11.3598</v>
      </c>
      <c r="G324" s="29">
        <f t="shared" si="31"/>
        <v>15.518737739463592</v>
      </c>
      <c r="H324" s="17">
        <f t="shared" si="32"/>
        <v>18.188893048271389</v>
      </c>
      <c r="I324" s="17">
        <f t="shared" si="33"/>
        <v>12.848582430655794</v>
      </c>
      <c r="J324" s="17">
        <f t="shared" si="34"/>
        <v>20.859048357079189</v>
      </c>
      <c r="K324" s="17">
        <f t="shared" si="35"/>
        <v>10.178427121847996</v>
      </c>
      <c r="L324" s="17">
        <f t="shared" si="36"/>
        <v>-0.48021092077827532</v>
      </c>
      <c r="M324" s="11">
        <f t="shared" si="37"/>
        <v>0.24317786878804015</v>
      </c>
    </row>
    <row r="325" spans="1:13" x14ac:dyDescent="0.2">
      <c r="A325" s="6">
        <v>44890</v>
      </c>
      <c r="B325" s="16">
        <v>14.3093</v>
      </c>
      <c r="C325" s="16">
        <v>11.4602</v>
      </c>
      <c r="D325" s="16">
        <v>12.771000000000001</v>
      </c>
      <c r="E325" s="16">
        <v>24.321000000000002</v>
      </c>
      <c r="F325" s="16">
        <v>11.0215</v>
      </c>
      <c r="G325" s="29">
        <f t="shared" si="31"/>
        <v>15.518737739463592</v>
      </c>
      <c r="H325" s="17">
        <f t="shared" si="32"/>
        <v>18.188893048271389</v>
      </c>
      <c r="I325" s="17">
        <f t="shared" si="33"/>
        <v>12.848582430655794</v>
      </c>
      <c r="J325" s="17">
        <f t="shared" si="34"/>
        <v>20.859048357079189</v>
      </c>
      <c r="K325" s="17">
        <f t="shared" si="35"/>
        <v>10.178427121847996</v>
      </c>
      <c r="L325" s="17">
        <f t="shared" si="36"/>
        <v>-0.45294658908945479</v>
      </c>
      <c r="M325" s="11">
        <f t="shared" si="37"/>
        <v>0.24860822673251781</v>
      </c>
    </row>
    <row r="326" spans="1:13" x14ac:dyDescent="0.2">
      <c r="A326" s="6">
        <v>44897</v>
      </c>
      <c r="B326" s="16">
        <v>14.195499999999999</v>
      </c>
      <c r="C326" s="16">
        <v>11.752700000000001</v>
      </c>
      <c r="D326" s="16">
        <v>13.2515</v>
      </c>
      <c r="E326" s="16">
        <v>25.162500000000001</v>
      </c>
      <c r="F326" s="16">
        <v>11.8133</v>
      </c>
      <c r="G326" s="29">
        <f t="shared" ref="G326:G389" si="38">$R$6</f>
        <v>15.518737739463592</v>
      </c>
      <c r="H326" s="17">
        <f t="shared" ref="H326:H389" si="39">$R$6+$R$7</f>
        <v>18.188893048271389</v>
      </c>
      <c r="I326" s="17">
        <f t="shared" ref="I326:I389" si="40">$R$6-$R$7</f>
        <v>12.848582430655794</v>
      </c>
      <c r="J326" s="17">
        <f t="shared" ref="J326:J389" si="41">$R$6+2*$R$7</f>
        <v>20.859048357079189</v>
      </c>
      <c r="K326" s="17">
        <f t="shared" ref="K326:K389" si="42">$R$6-2*$R$7</f>
        <v>10.178427121847996</v>
      </c>
      <c r="L326" s="17">
        <f t="shared" ref="L326:L389" si="43">(B326-$R$6)/$R$7</f>
        <v>-0.49556583285577038</v>
      </c>
      <c r="M326" s="11">
        <f t="shared" ref="M326:M389" si="44">IF(AND(ISNUMBER(B326),ISNUMBER(C326)),B326/C326-1,"")</f>
        <v>0.20785011103831441</v>
      </c>
    </row>
    <row r="327" spans="1:13" x14ac:dyDescent="0.2">
      <c r="A327" s="6">
        <v>44904</v>
      </c>
      <c r="B327" s="16">
        <v>13.513400000000001</v>
      </c>
      <c r="C327" s="16">
        <v>11.7828</v>
      </c>
      <c r="D327" s="16">
        <v>13.4137</v>
      </c>
      <c r="E327" s="16">
        <v>24.8124</v>
      </c>
      <c r="F327" s="16">
        <v>12.4903</v>
      </c>
      <c r="G327" s="29">
        <f t="shared" si="38"/>
        <v>15.518737739463592</v>
      </c>
      <c r="H327" s="17">
        <f t="shared" si="39"/>
        <v>18.188893048271389</v>
      </c>
      <c r="I327" s="17">
        <f t="shared" si="40"/>
        <v>12.848582430655794</v>
      </c>
      <c r="J327" s="17">
        <f t="shared" si="41"/>
        <v>20.859048357079189</v>
      </c>
      <c r="K327" s="17">
        <f t="shared" si="42"/>
        <v>10.178427121847996</v>
      </c>
      <c r="L327" s="17">
        <f t="shared" si="43"/>
        <v>-0.75101913841819112</v>
      </c>
      <c r="M327" s="11">
        <f t="shared" si="44"/>
        <v>0.14687510608683851</v>
      </c>
    </row>
    <row r="328" spans="1:13" x14ac:dyDescent="0.2">
      <c r="A328" s="6">
        <v>44911</v>
      </c>
      <c r="B328" s="16">
        <v>13.7597</v>
      </c>
      <c r="C328" s="16">
        <v>11.4834</v>
      </c>
      <c r="D328" s="16">
        <v>13.167899999999999</v>
      </c>
      <c r="E328" s="16">
        <v>24.406700000000001</v>
      </c>
      <c r="F328" s="16">
        <v>12.134499999999999</v>
      </c>
      <c r="G328" s="29">
        <f t="shared" si="38"/>
        <v>15.518737739463592</v>
      </c>
      <c r="H328" s="17">
        <f t="shared" si="39"/>
        <v>18.188893048271389</v>
      </c>
      <c r="I328" s="17">
        <f t="shared" si="40"/>
        <v>12.848582430655794</v>
      </c>
      <c r="J328" s="17">
        <f t="shared" si="41"/>
        <v>20.859048357079189</v>
      </c>
      <c r="K328" s="17">
        <f t="shared" si="42"/>
        <v>10.178427121847996</v>
      </c>
      <c r="L328" s="17">
        <f t="shared" si="43"/>
        <v>-0.65877731293802055</v>
      </c>
      <c r="M328" s="11">
        <f t="shared" si="44"/>
        <v>0.19822526429454701</v>
      </c>
    </row>
    <row r="329" spans="1:13" x14ac:dyDescent="0.2">
      <c r="A329" s="6">
        <v>44918</v>
      </c>
      <c r="B329" s="16">
        <v>13.5284</v>
      </c>
      <c r="C329" s="16">
        <v>11.4031</v>
      </c>
      <c r="D329" s="16">
        <v>13.007199999999999</v>
      </c>
      <c r="E329" s="16">
        <v>23.658300000000001</v>
      </c>
      <c r="F329" s="16">
        <v>12.043699999999999</v>
      </c>
      <c r="G329" s="29">
        <f t="shared" si="38"/>
        <v>15.518737739463592</v>
      </c>
      <c r="H329" s="17">
        <f t="shared" si="39"/>
        <v>18.188893048271389</v>
      </c>
      <c r="I329" s="17">
        <f t="shared" si="40"/>
        <v>12.848582430655794</v>
      </c>
      <c r="J329" s="17">
        <f t="shared" si="41"/>
        <v>20.859048357079189</v>
      </c>
      <c r="K329" s="17">
        <f t="shared" si="42"/>
        <v>10.178427121847996</v>
      </c>
      <c r="L329" s="17">
        <f t="shared" si="43"/>
        <v>-0.74540148765813241</v>
      </c>
      <c r="M329" s="11">
        <f t="shared" si="44"/>
        <v>0.18637914251387766</v>
      </c>
    </row>
    <row r="330" spans="1:13" x14ac:dyDescent="0.2">
      <c r="A330" s="6">
        <v>44925</v>
      </c>
      <c r="B330" s="16">
        <v>13.551500000000001</v>
      </c>
      <c r="C330" s="16">
        <v>11.4397</v>
      </c>
      <c r="D330" s="16">
        <v>13.065200000000001</v>
      </c>
      <c r="E330" s="16">
        <v>24.146599999999999</v>
      </c>
      <c r="F330" s="16">
        <v>12.173</v>
      </c>
      <c r="G330" s="29">
        <f t="shared" si="38"/>
        <v>15.518737739463592</v>
      </c>
      <c r="H330" s="17">
        <f t="shared" si="39"/>
        <v>18.188893048271389</v>
      </c>
      <c r="I330" s="17">
        <f t="shared" si="40"/>
        <v>12.848582430655794</v>
      </c>
      <c r="J330" s="17">
        <f t="shared" si="41"/>
        <v>20.859048357079189</v>
      </c>
      <c r="K330" s="17">
        <f t="shared" si="42"/>
        <v>10.178427121847996</v>
      </c>
      <c r="L330" s="17">
        <f t="shared" si="43"/>
        <v>-0.73675030548764098</v>
      </c>
      <c r="M330" s="11">
        <f t="shared" si="44"/>
        <v>0.18460274307892699</v>
      </c>
    </row>
    <row r="331" spans="1:13" x14ac:dyDescent="0.2">
      <c r="A331" s="6">
        <v>44932</v>
      </c>
      <c r="B331" s="16">
        <v>13.244400000000001</v>
      </c>
      <c r="C331" s="16">
        <v>11.8299</v>
      </c>
      <c r="D331" s="16">
        <v>13.4793</v>
      </c>
      <c r="E331" s="16">
        <v>23.899699999999999</v>
      </c>
      <c r="F331" s="16">
        <v>12.9796</v>
      </c>
      <c r="G331" s="29">
        <f t="shared" si="38"/>
        <v>15.518737739463592</v>
      </c>
      <c r="H331" s="17">
        <f t="shared" si="39"/>
        <v>18.188893048271389</v>
      </c>
      <c r="I331" s="17">
        <f t="shared" si="40"/>
        <v>12.848582430655794</v>
      </c>
      <c r="J331" s="17">
        <f t="shared" si="41"/>
        <v>20.859048357079189</v>
      </c>
      <c r="K331" s="17">
        <f t="shared" si="42"/>
        <v>10.178427121847996</v>
      </c>
      <c r="L331" s="17">
        <f t="shared" si="43"/>
        <v>-0.85176234204858459</v>
      </c>
      <c r="M331" s="11">
        <f t="shared" si="44"/>
        <v>0.1195699033804174</v>
      </c>
    </row>
    <row r="332" spans="1:13" x14ac:dyDescent="0.2">
      <c r="A332" s="6">
        <v>44939</v>
      </c>
      <c r="B332" s="16">
        <v>12.984500000000001</v>
      </c>
      <c r="C332" s="16">
        <v>12.393599999999999</v>
      </c>
      <c r="D332" s="16">
        <v>14.1617</v>
      </c>
      <c r="E332" s="16">
        <v>24.223099999999999</v>
      </c>
      <c r="F332" s="16">
        <v>13.5494</v>
      </c>
      <c r="G332" s="29">
        <f t="shared" si="38"/>
        <v>15.518737739463592</v>
      </c>
      <c r="H332" s="17">
        <f t="shared" si="39"/>
        <v>18.188893048271389</v>
      </c>
      <c r="I332" s="17">
        <f t="shared" si="40"/>
        <v>12.848582430655794</v>
      </c>
      <c r="J332" s="17">
        <f t="shared" si="41"/>
        <v>20.859048357079189</v>
      </c>
      <c r="K332" s="17">
        <f t="shared" si="42"/>
        <v>10.178427121847996</v>
      </c>
      <c r="L332" s="17">
        <f t="shared" si="43"/>
        <v>-0.94909750421787542</v>
      </c>
      <c r="M332" s="11">
        <f t="shared" si="44"/>
        <v>4.7677833720630058E-2</v>
      </c>
    </row>
    <row r="333" spans="1:13" x14ac:dyDescent="0.2">
      <c r="A333" s="6">
        <v>44946</v>
      </c>
      <c r="B333" s="16">
        <v>13.384399999999999</v>
      </c>
      <c r="C333" s="16">
        <v>12.4785</v>
      </c>
      <c r="D333" s="16">
        <v>14.3157</v>
      </c>
      <c r="E333" s="16">
        <v>24.2027</v>
      </c>
      <c r="F333" s="16">
        <v>13.7918</v>
      </c>
      <c r="G333" s="29">
        <f t="shared" si="38"/>
        <v>15.518737739463592</v>
      </c>
      <c r="H333" s="17">
        <f t="shared" si="39"/>
        <v>18.188893048271389</v>
      </c>
      <c r="I333" s="17">
        <f t="shared" si="40"/>
        <v>12.848582430655794</v>
      </c>
      <c r="J333" s="17">
        <f t="shared" si="41"/>
        <v>20.859048357079189</v>
      </c>
      <c r="K333" s="17">
        <f t="shared" si="42"/>
        <v>10.178427121847996</v>
      </c>
      <c r="L333" s="17">
        <f t="shared" si="43"/>
        <v>-0.79933093495469998</v>
      </c>
      <c r="M333" s="11">
        <f t="shared" si="44"/>
        <v>7.2596866610570077E-2</v>
      </c>
    </row>
    <row r="334" spans="1:13" x14ac:dyDescent="0.2">
      <c r="A334" s="6">
        <v>44953</v>
      </c>
      <c r="B334" s="16">
        <v>13.404299999999999</v>
      </c>
      <c r="C334" s="16">
        <v>12.705</v>
      </c>
      <c r="D334" s="16">
        <v>14.6173</v>
      </c>
      <c r="E334" s="16">
        <v>23.2288</v>
      </c>
      <c r="F334" s="16">
        <v>14.2431</v>
      </c>
      <c r="G334" s="29">
        <f t="shared" si="38"/>
        <v>15.518737739463592</v>
      </c>
      <c r="H334" s="17">
        <f t="shared" si="39"/>
        <v>18.188893048271389</v>
      </c>
      <c r="I334" s="17">
        <f t="shared" si="40"/>
        <v>12.848582430655794</v>
      </c>
      <c r="J334" s="17">
        <f t="shared" si="41"/>
        <v>20.859048357079189</v>
      </c>
      <c r="K334" s="17">
        <f t="shared" si="42"/>
        <v>10.178427121847996</v>
      </c>
      <c r="L334" s="17">
        <f t="shared" si="43"/>
        <v>-0.79187818494635498</v>
      </c>
      <c r="M334" s="11">
        <f t="shared" si="44"/>
        <v>5.5041322314049568E-2</v>
      </c>
    </row>
    <row r="335" spans="1:13" x14ac:dyDescent="0.2">
      <c r="A335" s="6">
        <v>44960</v>
      </c>
      <c r="B335" s="16">
        <v>13.3245</v>
      </c>
      <c r="C335" s="16">
        <v>12.429</v>
      </c>
      <c r="D335" s="16">
        <v>14.557</v>
      </c>
      <c r="E335" s="16">
        <v>19.782299999999999</v>
      </c>
      <c r="F335" s="16">
        <v>13.6127</v>
      </c>
      <c r="G335" s="29">
        <f t="shared" si="38"/>
        <v>15.518737739463592</v>
      </c>
      <c r="H335" s="17">
        <f t="shared" si="39"/>
        <v>18.188893048271389</v>
      </c>
      <c r="I335" s="17">
        <f t="shared" si="40"/>
        <v>12.848582430655794</v>
      </c>
      <c r="J335" s="17">
        <f t="shared" si="41"/>
        <v>20.859048357079189</v>
      </c>
      <c r="K335" s="17">
        <f t="shared" si="42"/>
        <v>10.178427121847996</v>
      </c>
      <c r="L335" s="17">
        <f t="shared" si="43"/>
        <v>-0.82176408698986891</v>
      </c>
      <c r="M335" s="11">
        <f t="shared" si="44"/>
        <v>7.204923968139032E-2</v>
      </c>
    </row>
    <row r="336" spans="1:13" x14ac:dyDescent="0.2">
      <c r="A336" s="6">
        <v>44967</v>
      </c>
      <c r="B336" s="16">
        <v>13.4114</v>
      </c>
      <c r="C336" s="16">
        <v>12.185</v>
      </c>
      <c r="D336" s="16">
        <v>14.349500000000001</v>
      </c>
      <c r="E336" s="16">
        <v>19.950800000000001</v>
      </c>
      <c r="F336" s="16">
        <v>13.253</v>
      </c>
      <c r="G336" s="29">
        <f t="shared" si="38"/>
        <v>15.518737739463592</v>
      </c>
      <c r="H336" s="17">
        <f t="shared" si="39"/>
        <v>18.188893048271389</v>
      </c>
      <c r="I336" s="17">
        <f t="shared" si="40"/>
        <v>12.848582430655794</v>
      </c>
      <c r="J336" s="17">
        <f t="shared" si="41"/>
        <v>20.859048357079189</v>
      </c>
      <c r="K336" s="17">
        <f t="shared" si="42"/>
        <v>10.178427121847996</v>
      </c>
      <c r="L336" s="17">
        <f t="shared" si="43"/>
        <v>-0.78921916358659316</v>
      </c>
      <c r="M336" s="11">
        <f t="shared" si="44"/>
        <v>0.10064833812064022</v>
      </c>
    </row>
    <row r="337" spans="1:13" x14ac:dyDescent="0.2">
      <c r="A337" s="6">
        <v>44974</v>
      </c>
      <c r="B337" s="16">
        <v>13.330299999999999</v>
      </c>
      <c r="C337" s="16">
        <v>12.0556</v>
      </c>
      <c r="D337" s="16">
        <v>13.821400000000001</v>
      </c>
      <c r="E337" s="16">
        <v>20.050599999999999</v>
      </c>
      <c r="F337" s="16">
        <v>12.9701</v>
      </c>
      <c r="G337" s="29">
        <f t="shared" si="38"/>
        <v>15.518737739463592</v>
      </c>
      <c r="H337" s="17">
        <f t="shared" si="39"/>
        <v>18.188893048271389</v>
      </c>
      <c r="I337" s="17">
        <f t="shared" si="40"/>
        <v>12.848582430655794</v>
      </c>
      <c r="J337" s="17">
        <f t="shared" si="41"/>
        <v>20.859048357079189</v>
      </c>
      <c r="K337" s="17">
        <f t="shared" si="42"/>
        <v>10.178427121847996</v>
      </c>
      <c r="L337" s="17">
        <f t="shared" si="43"/>
        <v>-0.81959192869597985</v>
      </c>
      <c r="M337" s="11">
        <f t="shared" si="44"/>
        <v>0.10573509406416925</v>
      </c>
    </row>
    <row r="338" spans="1:13" x14ac:dyDescent="0.2">
      <c r="A338" s="6">
        <v>44981</v>
      </c>
      <c r="B338" s="16">
        <v>13.2493</v>
      </c>
      <c r="C338" s="16">
        <v>11.807600000000001</v>
      </c>
      <c r="D338" s="16">
        <v>13.591100000000001</v>
      </c>
      <c r="E338" s="16">
        <v>19.563199999999998</v>
      </c>
      <c r="F338" s="16">
        <v>12.508599999999999</v>
      </c>
      <c r="G338" s="29">
        <f t="shared" si="38"/>
        <v>15.518737739463592</v>
      </c>
      <c r="H338" s="17">
        <f t="shared" si="39"/>
        <v>18.188893048271389</v>
      </c>
      <c r="I338" s="17">
        <f t="shared" si="40"/>
        <v>12.848582430655794</v>
      </c>
      <c r="J338" s="17">
        <f t="shared" si="41"/>
        <v>20.859048357079189</v>
      </c>
      <c r="K338" s="17">
        <f t="shared" si="42"/>
        <v>10.178427121847996</v>
      </c>
      <c r="L338" s="17">
        <f t="shared" si="43"/>
        <v>-0.84992724280029885</v>
      </c>
      <c r="M338" s="11">
        <f t="shared" si="44"/>
        <v>0.12209932585792194</v>
      </c>
    </row>
    <row r="339" spans="1:13" x14ac:dyDescent="0.2">
      <c r="A339" s="6">
        <v>44988</v>
      </c>
      <c r="B339" s="16">
        <v>12.697699999999999</v>
      </c>
      <c r="C339" s="16">
        <v>12.0258</v>
      </c>
      <c r="D339" s="16">
        <v>13.8835</v>
      </c>
      <c r="E339" s="16">
        <v>19.707699999999999</v>
      </c>
      <c r="F339" s="16">
        <v>13.077500000000001</v>
      </c>
      <c r="G339" s="29">
        <f t="shared" si="38"/>
        <v>15.518737739463592</v>
      </c>
      <c r="H339" s="17">
        <f t="shared" si="39"/>
        <v>18.188893048271389</v>
      </c>
      <c r="I339" s="17">
        <f t="shared" si="40"/>
        <v>12.848582430655794</v>
      </c>
      <c r="J339" s="17">
        <f t="shared" si="41"/>
        <v>20.859048357079189</v>
      </c>
      <c r="K339" s="17">
        <f t="shared" si="42"/>
        <v>10.178427121847996</v>
      </c>
      <c r="L339" s="17">
        <f t="shared" si="43"/>
        <v>-1.0565069867502062</v>
      </c>
      <c r="M339" s="11">
        <f t="shared" si="44"/>
        <v>5.587154284953999E-2</v>
      </c>
    </row>
    <row r="340" spans="1:13" x14ac:dyDescent="0.2">
      <c r="A340" s="6">
        <v>44995</v>
      </c>
      <c r="B340" s="16">
        <v>12.6709</v>
      </c>
      <c r="C340" s="16">
        <v>11.7171</v>
      </c>
      <c r="D340" s="16">
        <v>13.356999999999999</v>
      </c>
      <c r="E340" s="16">
        <v>19.568999999999999</v>
      </c>
      <c r="F340" s="16">
        <v>12.195399999999999</v>
      </c>
      <c r="G340" s="29">
        <f t="shared" si="38"/>
        <v>15.518737739463592</v>
      </c>
      <c r="H340" s="17">
        <f t="shared" si="39"/>
        <v>18.188893048271389</v>
      </c>
      <c r="I340" s="17">
        <f t="shared" si="40"/>
        <v>12.848582430655794</v>
      </c>
      <c r="J340" s="17">
        <f t="shared" si="41"/>
        <v>20.859048357079189</v>
      </c>
      <c r="K340" s="17">
        <f t="shared" si="42"/>
        <v>10.178427121847996</v>
      </c>
      <c r="L340" s="17">
        <f t="shared" si="43"/>
        <v>-1.0665438561081784</v>
      </c>
      <c r="M340" s="11">
        <f t="shared" si="44"/>
        <v>8.1402394790519805E-2</v>
      </c>
    </row>
    <row r="341" spans="1:13" x14ac:dyDescent="0.2">
      <c r="A341" s="6">
        <v>45002</v>
      </c>
      <c r="B341" s="16">
        <v>12.6188</v>
      </c>
      <c r="C341" s="16">
        <v>11.7547</v>
      </c>
      <c r="D341" s="16">
        <v>13.5976</v>
      </c>
      <c r="E341" s="16">
        <v>19.252800000000001</v>
      </c>
      <c r="F341" s="16">
        <v>12.427300000000001</v>
      </c>
      <c r="G341" s="29">
        <f t="shared" si="38"/>
        <v>15.518737739463592</v>
      </c>
      <c r="H341" s="17">
        <f t="shared" si="39"/>
        <v>18.188893048271389</v>
      </c>
      <c r="I341" s="17">
        <f t="shared" si="40"/>
        <v>12.848582430655794</v>
      </c>
      <c r="J341" s="17">
        <f t="shared" si="41"/>
        <v>20.859048357079189</v>
      </c>
      <c r="K341" s="17">
        <f t="shared" si="42"/>
        <v>10.178427121847996</v>
      </c>
      <c r="L341" s="17">
        <f t="shared" si="43"/>
        <v>-1.0860558297481167</v>
      </c>
      <c r="M341" s="11">
        <f t="shared" si="44"/>
        <v>7.3511021123465525E-2</v>
      </c>
    </row>
    <row r="342" spans="1:13" x14ac:dyDescent="0.2">
      <c r="A342" s="6">
        <v>45009</v>
      </c>
      <c r="B342" s="16">
        <v>12.8919</v>
      </c>
      <c r="C342" s="16">
        <v>11.9054</v>
      </c>
      <c r="D342" s="16">
        <v>13.353899999999999</v>
      </c>
      <c r="E342" s="16">
        <v>19.105799999999999</v>
      </c>
      <c r="F342" s="16">
        <v>13.6425</v>
      </c>
      <c r="G342" s="29">
        <f t="shared" si="38"/>
        <v>15.518737739463592</v>
      </c>
      <c r="H342" s="17">
        <f t="shared" si="39"/>
        <v>18.188893048271389</v>
      </c>
      <c r="I342" s="17">
        <f t="shared" si="40"/>
        <v>12.848582430655794</v>
      </c>
      <c r="J342" s="17">
        <f t="shared" si="41"/>
        <v>20.859048357079189</v>
      </c>
      <c r="K342" s="17">
        <f t="shared" si="42"/>
        <v>10.178427121847996</v>
      </c>
      <c r="L342" s="17">
        <f t="shared" si="43"/>
        <v>-0.98377713490997398</v>
      </c>
      <c r="M342" s="11">
        <f t="shared" si="44"/>
        <v>8.2861558620457965E-2</v>
      </c>
    </row>
    <row r="343" spans="1:13" x14ac:dyDescent="0.2">
      <c r="A343" s="6">
        <v>45016</v>
      </c>
      <c r="B343" s="16">
        <v>12.7242</v>
      </c>
      <c r="C343" s="16">
        <v>12.196899999999999</v>
      </c>
      <c r="D343" s="16">
        <v>13.638199999999999</v>
      </c>
      <c r="E343" s="16">
        <v>19.522099999999998</v>
      </c>
      <c r="F343" s="16">
        <v>11.116300000000001</v>
      </c>
      <c r="G343" s="29">
        <f t="shared" si="38"/>
        <v>15.518737739463592</v>
      </c>
      <c r="H343" s="17">
        <f t="shared" si="39"/>
        <v>18.188893048271389</v>
      </c>
      <c r="I343" s="17">
        <f t="shared" si="40"/>
        <v>12.848582430655794</v>
      </c>
      <c r="J343" s="17">
        <f t="shared" si="41"/>
        <v>20.859048357079189</v>
      </c>
      <c r="K343" s="17">
        <f t="shared" si="42"/>
        <v>10.178427121847996</v>
      </c>
      <c r="L343" s="17">
        <f t="shared" si="43"/>
        <v>-1.0465824704074349</v>
      </c>
      <c r="M343" s="11">
        <f t="shared" si="44"/>
        <v>4.323229673113671E-2</v>
      </c>
    </row>
    <row r="344" spans="1:13" x14ac:dyDescent="0.2">
      <c r="A344" s="6">
        <v>45023</v>
      </c>
      <c r="B344" s="16">
        <v>12.827500000000001</v>
      </c>
      <c r="C344" s="16">
        <v>12.2121</v>
      </c>
      <c r="D344" s="16">
        <v>13.688000000000001</v>
      </c>
      <c r="E344" s="16">
        <v>19.783300000000001</v>
      </c>
      <c r="F344" s="16">
        <v>11.0692</v>
      </c>
      <c r="G344" s="29">
        <f t="shared" si="38"/>
        <v>15.518737739463592</v>
      </c>
      <c r="H344" s="17">
        <f t="shared" si="39"/>
        <v>18.188893048271389</v>
      </c>
      <c r="I344" s="17">
        <f t="shared" si="40"/>
        <v>12.848582430655794</v>
      </c>
      <c r="J344" s="17">
        <f t="shared" si="41"/>
        <v>20.859048357079189</v>
      </c>
      <c r="K344" s="17">
        <f t="shared" si="42"/>
        <v>10.178427121847996</v>
      </c>
      <c r="L344" s="17">
        <f t="shared" si="43"/>
        <v>-1.0078955821731608</v>
      </c>
      <c r="M344" s="11">
        <f t="shared" si="44"/>
        <v>5.0392643361911738E-2</v>
      </c>
    </row>
    <row r="345" spans="1:13" x14ac:dyDescent="0.2">
      <c r="A345" s="6">
        <v>45030</v>
      </c>
      <c r="B345" s="16">
        <v>13.167299999999999</v>
      </c>
      <c r="C345" s="16">
        <v>12.4018</v>
      </c>
      <c r="D345" s="16">
        <v>13.8584</v>
      </c>
      <c r="E345" s="16">
        <v>20.1751</v>
      </c>
      <c r="F345" s="16">
        <v>11.0564</v>
      </c>
      <c r="G345" s="29">
        <f t="shared" si="38"/>
        <v>15.518737739463592</v>
      </c>
      <c r="H345" s="17">
        <f t="shared" si="39"/>
        <v>18.188893048271389</v>
      </c>
      <c r="I345" s="17">
        <f t="shared" si="40"/>
        <v>12.848582430655794</v>
      </c>
      <c r="J345" s="17">
        <f t="shared" si="41"/>
        <v>20.859048357079189</v>
      </c>
      <c r="K345" s="17">
        <f t="shared" si="42"/>
        <v>10.178427121847996</v>
      </c>
      <c r="L345" s="17">
        <f t="shared" si="43"/>
        <v>-0.88063706695528898</v>
      </c>
      <c r="M345" s="11">
        <f t="shared" si="44"/>
        <v>6.1724910900030627E-2</v>
      </c>
    </row>
    <row r="346" spans="1:13" x14ac:dyDescent="0.2">
      <c r="A346" s="6">
        <v>45037</v>
      </c>
      <c r="B346" s="16">
        <v>13.1532</v>
      </c>
      <c r="C346" s="16">
        <v>12.244899999999999</v>
      </c>
      <c r="D346" s="16">
        <v>13.6737</v>
      </c>
      <c r="E346" s="16">
        <v>19.956700000000001</v>
      </c>
      <c r="F346" s="16">
        <v>10.845000000000001</v>
      </c>
      <c r="G346" s="29">
        <f t="shared" si="38"/>
        <v>15.518737739463592</v>
      </c>
      <c r="H346" s="17">
        <f t="shared" si="39"/>
        <v>18.188893048271389</v>
      </c>
      <c r="I346" s="17">
        <f t="shared" si="40"/>
        <v>12.848582430655794</v>
      </c>
      <c r="J346" s="17">
        <f t="shared" si="41"/>
        <v>20.859048357079189</v>
      </c>
      <c r="K346" s="17">
        <f t="shared" si="42"/>
        <v>10.178427121847996</v>
      </c>
      <c r="L346" s="17">
        <f t="shared" si="43"/>
        <v>-0.88591765866974415</v>
      </c>
      <c r="M346" s="11">
        <f t="shared" si="44"/>
        <v>7.4177820970363184E-2</v>
      </c>
    </row>
    <row r="347" spans="1:13" x14ac:dyDescent="0.2">
      <c r="A347" s="6">
        <v>45044</v>
      </c>
      <c r="B347" s="16">
        <v>13.2302</v>
      </c>
      <c r="C347" s="16">
        <v>12.2157</v>
      </c>
      <c r="D347" s="16">
        <v>13.6395</v>
      </c>
      <c r="E347" s="16">
        <v>20.763000000000002</v>
      </c>
      <c r="F347" s="16">
        <v>10.7712</v>
      </c>
      <c r="G347" s="29">
        <f t="shared" si="38"/>
        <v>15.518737739463592</v>
      </c>
      <c r="H347" s="17">
        <f t="shared" si="39"/>
        <v>18.188893048271389</v>
      </c>
      <c r="I347" s="17">
        <f t="shared" si="40"/>
        <v>12.848582430655794</v>
      </c>
      <c r="J347" s="17">
        <f t="shared" si="41"/>
        <v>20.859048357079189</v>
      </c>
      <c r="K347" s="17">
        <f t="shared" si="42"/>
        <v>10.178427121847996</v>
      </c>
      <c r="L347" s="17">
        <f t="shared" si="43"/>
        <v>-0.85708038476810744</v>
      </c>
      <c r="M347" s="11">
        <f t="shared" si="44"/>
        <v>8.3048863347986668E-2</v>
      </c>
    </row>
    <row r="348" spans="1:13" x14ac:dyDescent="0.2">
      <c r="A348" s="6">
        <v>45051</v>
      </c>
      <c r="B348" s="16">
        <v>13.093500000000001</v>
      </c>
      <c r="C348" s="16">
        <v>12.514699999999999</v>
      </c>
      <c r="D348" s="16">
        <v>13.777100000000001</v>
      </c>
      <c r="E348" s="16">
        <v>20.809899999999999</v>
      </c>
      <c r="F348" s="16">
        <v>10.855</v>
      </c>
      <c r="G348" s="29">
        <f t="shared" si="38"/>
        <v>15.518737739463592</v>
      </c>
      <c r="H348" s="17">
        <f t="shared" si="39"/>
        <v>18.188893048271389</v>
      </c>
      <c r="I348" s="17">
        <f t="shared" si="40"/>
        <v>12.848582430655794</v>
      </c>
      <c r="J348" s="17">
        <f t="shared" si="41"/>
        <v>20.859048357079189</v>
      </c>
      <c r="K348" s="17">
        <f t="shared" si="42"/>
        <v>10.178427121847996</v>
      </c>
      <c r="L348" s="17">
        <f t="shared" si="43"/>
        <v>-0.90827590869477925</v>
      </c>
      <c r="M348" s="11">
        <f t="shared" si="44"/>
        <v>4.6249610458101387E-2</v>
      </c>
    </row>
    <row r="349" spans="1:13" x14ac:dyDescent="0.2">
      <c r="A349" s="6">
        <v>45058</v>
      </c>
      <c r="B349" s="16">
        <v>12.793799999999999</v>
      </c>
      <c r="C349" s="16">
        <v>12.475199999999999</v>
      </c>
      <c r="D349" s="16">
        <v>13.664</v>
      </c>
      <c r="E349" s="16">
        <v>21.136700000000001</v>
      </c>
      <c r="F349" s="16">
        <v>10.6487</v>
      </c>
      <c r="G349" s="29">
        <f t="shared" si="38"/>
        <v>15.518737739463592</v>
      </c>
      <c r="H349" s="17">
        <f t="shared" si="39"/>
        <v>18.188893048271389</v>
      </c>
      <c r="I349" s="17">
        <f t="shared" si="40"/>
        <v>12.848582430655794</v>
      </c>
      <c r="J349" s="17">
        <f t="shared" si="41"/>
        <v>20.859048357079189</v>
      </c>
      <c r="K349" s="17">
        <f t="shared" si="42"/>
        <v>10.178427121847996</v>
      </c>
      <c r="L349" s="17">
        <f t="shared" si="43"/>
        <v>-1.0205165708807609</v>
      </c>
      <c r="M349" s="11">
        <f t="shared" si="44"/>
        <v>2.5538668718738E-2</v>
      </c>
    </row>
    <row r="350" spans="1:13" x14ac:dyDescent="0.2">
      <c r="A350" s="6">
        <v>45065</v>
      </c>
      <c r="B350" s="16">
        <v>12.935499999999999</v>
      </c>
      <c r="C350" s="16">
        <v>12.597799999999999</v>
      </c>
      <c r="D350" s="16">
        <v>13.800700000000001</v>
      </c>
      <c r="E350" s="16">
        <v>20.939900000000002</v>
      </c>
      <c r="F350" s="16">
        <v>10.638299999999999</v>
      </c>
      <c r="G350" s="29">
        <f t="shared" si="38"/>
        <v>15.518737739463592</v>
      </c>
      <c r="H350" s="17">
        <f t="shared" si="39"/>
        <v>18.188893048271389</v>
      </c>
      <c r="I350" s="17">
        <f t="shared" si="40"/>
        <v>12.848582430655794</v>
      </c>
      <c r="J350" s="17">
        <f t="shared" si="41"/>
        <v>20.859048357079189</v>
      </c>
      <c r="K350" s="17">
        <f t="shared" si="42"/>
        <v>10.178427121847996</v>
      </c>
      <c r="L350" s="17">
        <f t="shared" si="43"/>
        <v>-0.96744849670073563</v>
      </c>
      <c r="M350" s="11">
        <f t="shared" si="44"/>
        <v>2.6806267761037672E-2</v>
      </c>
    </row>
    <row r="351" spans="1:13" x14ac:dyDescent="0.2">
      <c r="A351" s="6">
        <v>45072</v>
      </c>
      <c r="B351" s="16">
        <v>13.098000000000001</v>
      </c>
      <c r="C351" s="16">
        <v>12.5929</v>
      </c>
      <c r="D351" s="16">
        <v>13.7415</v>
      </c>
      <c r="E351" s="16">
        <v>21.254200000000001</v>
      </c>
      <c r="F351" s="16">
        <v>10.3218</v>
      </c>
      <c r="G351" s="29">
        <f t="shared" si="38"/>
        <v>15.518737739463592</v>
      </c>
      <c r="H351" s="17">
        <f t="shared" si="39"/>
        <v>18.188893048271389</v>
      </c>
      <c r="I351" s="17">
        <f t="shared" si="40"/>
        <v>12.848582430655794</v>
      </c>
      <c r="J351" s="17">
        <f t="shared" si="41"/>
        <v>20.859048357079189</v>
      </c>
      <c r="K351" s="17">
        <f t="shared" si="42"/>
        <v>10.178427121847996</v>
      </c>
      <c r="L351" s="17">
        <f t="shared" si="43"/>
        <v>-0.9065906134667614</v>
      </c>
      <c r="M351" s="11">
        <f t="shared" si="44"/>
        <v>4.010990319942187E-2</v>
      </c>
    </row>
    <row r="352" spans="1:13" x14ac:dyDescent="0.2">
      <c r="A352" s="6">
        <v>45079</v>
      </c>
      <c r="B352" s="16">
        <v>14.9276</v>
      </c>
      <c r="C352" s="16">
        <v>13.0282</v>
      </c>
      <c r="D352" s="16">
        <v>14.1113</v>
      </c>
      <c r="E352" s="16">
        <v>21.442499999999999</v>
      </c>
      <c r="F352" s="16">
        <v>10.651300000000001</v>
      </c>
      <c r="G352" s="29">
        <f t="shared" si="38"/>
        <v>15.518737739463592</v>
      </c>
      <c r="H352" s="17">
        <f t="shared" si="39"/>
        <v>18.188893048271389</v>
      </c>
      <c r="I352" s="17">
        <f t="shared" si="40"/>
        <v>12.848582430655794</v>
      </c>
      <c r="J352" s="17">
        <f t="shared" si="41"/>
        <v>20.859048357079189</v>
      </c>
      <c r="K352" s="17">
        <f t="shared" si="42"/>
        <v>10.178427121847996</v>
      </c>
      <c r="L352" s="17">
        <f t="shared" si="43"/>
        <v>-0.22138702475981833</v>
      </c>
      <c r="M352" s="11">
        <f t="shared" si="44"/>
        <v>0.14579143703658226</v>
      </c>
    </row>
    <row r="353" spans="1:13" x14ac:dyDescent="0.2">
      <c r="A353" s="6">
        <v>45086</v>
      </c>
      <c r="B353" s="16">
        <v>14.8909</v>
      </c>
      <c r="C353" s="16">
        <v>13.294</v>
      </c>
      <c r="D353" s="16">
        <v>14.3286</v>
      </c>
      <c r="E353" s="16">
        <v>21.503</v>
      </c>
      <c r="F353" s="16">
        <v>10.864100000000001</v>
      </c>
      <c r="G353" s="29">
        <f t="shared" si="38"/>
        <v>15.518737739463592</v>
      </c>
      <c r="H353" s="17">
        <f t="shared" si="39"/>
        <v>18.188893048271389</v>
      </c>
      <c r="I353" s="17">
        <f t="shared" si="40"/>
        <v>12.848582430655794</v>
      </c>
      <c r="J353" s="17">
        <f t="shared" si="41"/>
        <v>20.859048357079189</v>
      </c>
      <c r="K353" s="17">
        <f t="shared" si="42"/>
        <v>10.178427121847996</v>
      </c>
      <c r="L353" s="17">
        <f t="shared" si="43"/>
        <v>-0.23513154361942951</v>
      </c>
      <c r="M353" s="11">
        <f t="shared" si="44"/>
        <v>0.12012185948548204</v>
      </c>
    </row>
    <row r="354" spans="1:13" x14ac:dyDescent="0.2">
      <c r="A354" s="6">
        <v>45093</v>
      </c>
      <c r="B354" s="16">
        <v>14.874599999999999</v>
      </c>
      <c r="C354" s="16">
        <v>13.622999999999999</v>
      </c>
      <c r="D354" s="16">
        <v>14.7203</v>
      </c>
      <c r="E354" s="16">
        <v>21.8644</v>
      </c>
      <c r="F354" s="16">
        <v>11.3942</v>
      </c>
      <c r="G354" s="29">
        <f t="shared" si="38"/>
        <v>15.518737739463592</v>
      </c>
      <c r="H354" s="17">
        <f t="shared" si="39"/>
        <v>18.188893048271389</v>
      </c>
      <c r="I354" s="17">
        <f t="shared" si="40"/>
        <v>12.848582430655794</v>
      </c>
      <c r="J354" s="17">
        <f t="shared" si="41"/>
        <v>20.859048357079189</v>
      </c>
      <c r="K354" s="17">
        <f t="shared" si="42"/>
        <v>10.178427121847996</v>
      </c>
      <c r="L354" s="17">
        <f t="shared" si="43"/>
        <v>-0.24123605744536084</v>
      </c>
      <c r="M354" s="11">
        <f t="shared" si="44"/>
        <v>9.1874036555824601E-2</v>
      </c>
    </row>
    <row r="355" spans="1:13" x14ac:dyDescent="0.2">
      <c r="A355" s="6">
        <v>45100</v>
      </c>
      <c r="B355" s="16">
        <v>14.699</v>
      </c>
      <c r="C355" s="16">
        <v>13.1526</v>
      </c>
      <c r="D355" s="16">
        <v>14.1609</v>
      </c>
      <c r="E355" s="16">
        <v>21.552900000000001</v>
      </c>
      <c r="F355" s="16">
        <v>10.661799999999999</v>
      </c>
      <c r="G355" s="29">
        <f t="shared" si="38"/>
        <v>15.518737739463592</v>
      </c>
      <c r="H355" s="17">
        <f t="shared" si="39"/>
        <v>18.188893048271389</v>
      </c>
      <c r="I355" s="17">
        <f t="shared" si="40"/>
        <v>12.848582430655794</v>
      </c>
      <c r="J355" s="17">
        <f t="shared" si="41"/>
        <v>20.859048357079189</v>
      </c>
      <c r="K355" s="17">
        <f t="shared" si="42"/>
        <v>10.178427121847996</v>
      </c>
      <c r="L355" s="17">
        <f t="shared" si="43"/>
        <v>-0.30700002234311924</v>
      </c>
      <c r="M355" s="11">
        <f t="shared" si="44"/>
        <v>0.11757371166157271</v>
      </c>
    </row>
    <row r="356" spans="1:13" x14ac:dyDescent="0.2">
      <c r="A356" s="6">
        <v>45107</v>
      </c>
      <c r="B356" s="16">
        <v>14.787800000000001</v>
      </c>
      <c r="C356" s="16">
        <v>13.2667</v>
      </c>
      <c r="D356" s="16">
        <v>14.242900000000001</v>
      </c>
      <c r="E356" s="16">
        <v>22.1341</v>
      </c>
      <c r="F356" s="16">
        <v>10.7667</v>
      </c>
      <c r="G356" s="29">
        <f t="shared" si="38"/>
        <v>15.518737739463592</v>
      </c>
      <c r="H356" s="17">
        <f t="shared" si="39"/>
        <v>18.188893048271389</v>
      </c>
      <c r="I356" s="17">
        <f t="shared" si="40"/>
        <v>12.848582430655794</v>
      </c>
      <c r="J356" s="17">
        <f t="shared" si="41"/>
        <v>20.859048357079189</v>
      </c>
      <c r="K356" s="17">
        <f t="shared" si="42"/>
        <v>10.178427121847996</v>
      </c>
      <c r="L356" s="17">
        <f t="shared" si="43"/>
        <v>-0.27374352984356898</v>
      </c>
      <c r="M356" s="11">
        <f t="shared" si="44"/>
        <v>0.11465549081534965</v>
      </c>
    </row>
    <row r="357" spans="1:13" x14ac:dyDescent="0.2">
      <c r="A357" s="6">
        <v>45114</v>
      </c>
      <c r="B357" s="16">
        <v>14.8048</v>
      </c>
      <c r="C357" s="16">
        <v>13.165699999999999</v>
      </c>
      <c r="D357" s="16">
        <v>14.0627</v>
      </c>
      <c r="E357" s="16">
        <v>22.5017</v>
      </c>
      <c r="F357" s="16">
        <v>10.584099999999999</v>
      </c>
      <c r="G357" s="29">
        <f t="shared" si="38"/>
        <v>15.518737739463592</v>
      </c>
      <c r="H357" s="17">
        <f t="shared" si="39"/>
        <v>18.188893048271389</v>
      </c>
      <c r="I357" s="17">
        <f t="shared" si="40"/>
        <v>12.848582430655794</v>
      </c>
      <c r="J357" s="17">
        <f t="shared" si="41"/>
        <v>20.859048357079189</v>
      </c>
      <c r="K357" s="17">
        <f t="shared" si="42"/>
        <v>10.178427121847996</v>
      </c>
      <c r="L357" s="17">
        <f t="shared" si="43"/>
        <v>-0.26737685898216884</v>
      </c>
      <c r="M357" s="11">
        <f t="shared" si="44"/>
        <v>0.12449774793592439</v>
      </c>
    </row>
    <row r="358" spans="1:13" x14ac:dyDescent="0.2">
      <c r="A358" s="6">
        <v>45121</v>
      </c>
      <c r="B358" s="16">
        <v>15.0909</v>
      </c>
      <c r="C358" s="16">
        <v>13.7758</v>
      </c>
      <c r="D358" s="16">
        <v>14.7364</v>
      </c>
      <c r="E358" s="16">
        <v>23.077200000000001</v>
      </c>
      <c r="F358" s="16">
        <v>11.159800000000001</v>
      </c>
      <c r="G358" s="29">
        <f t="shared" si="38"/>
        <v>15.518737739463592</v>
      </c>
      <c r="H358" s="17">
        <f t="shared" si="39"/>
        <v>18.188893048271389</v>
      </c>
      <c r="I358" s="17">
        <f t="shared" si="40"/>
        <v>12.848582430655794</v>
      </c>
      <c r="J358" s="17">
        <f t="shared" si="41"/>
        <v>20.859048357079189</v>
      </c>
      <c r="K358" s="17">
        <f t="shared" si="42"/>
        <v>10.178427121847996</v>
      </c>
      <c r="L358" s="17">
        <f t="shared" si="43"/>
        <v>-0.1602295334853083</v>
      </c>
      <c r="M358" s="11">
        <f t="shared" si="44"/>
        <v>9.5464510228081112E-2</v>
      </c>
    </row>
    <row r="359" spans="1:13" x14ac:dyDescent="0.2">
      <c r="A359" s="6">
        <v>45128</v>
      </c>
      <c r="B359" s="16">
        <v>15.1267</v>
      </c>
      <c r="C359" s="16">
        <v>13.594099999999999</v>
      </c>
      <c r="D359" s="16">
        <v>14.7758</v>
      </c>
      <c r="E359" s="16">
        <v>23.21</v>
      </c>
      <c r="F359" s="16">
        <v>10.9328</v>
      </c>
      <c r="G359" s="29">
        <f t="shared" si="38"/>
        <v>15.518737739463592</v>
      </c>
      <c r="H359" s="17">
        <f t="shared" si="39"/>
        <v>18.188893048271389</v>
      </c>
      <c r="I359" s="17">
        <f t="shared" si="40"/>
        <v>12.848582430655794</v>
      </c>
      <c r="J359" s="17">
        <f t="shared" si="41"/>
        <v>20.859048357079189</v>
      </c>
      <c r="K359" s="17">
        <f t="shared" si="42"/>
        <v>10.178427121847996</v>
      </c>
      <c r="L359" s="17">
        <f t="shared" si="43"/>
        <v>-0.14682207367130054</v>
      </c>
      <c r="M359" s="11">
        <f t="shared" si="44"/>
        <v>0.11274008577250427</v>
      </c>
    </row>
    <row r="360" spans="1:13" x14ac:dyDescent="0.2">
      <c r="A360" s="6">
        <v>45135</v>
      </c>
      <c r="B360" s="16">
        <v>15.0869</v>
      </c>
      <c r="C360" s="16">
        <v>13.9551</v>
      </c>
      <c r="D360" s="16">
        <v>14.9718</v>
      </c>
      <c r="E360" s="16">
        <v>22.9633</v>
      </c>
      <c r="F360" s="16">
        <v>11.6175</v>
      </c>
      <c r="G360" s="29">
        <f t="shared" si="38"/>
        <v>15.518737739463592</v>
      </c>
      <c r="H360" s="17">
        <f t="shared" si="39"/>
        <v>18.188893048271389</v>
      </c>
      <c r="I360" s="17">
        <f t="shared" si="40"/>
        <v>12.848582430655794</v>
      </c>
      <c r="J360" s="17">
        <f t="shared" si="41"/>
        <v>20.859048357079189</v>
      </c>
      <c r="K360" s="17">
        <f t="shared" si="42"/>
        <v>10.178427121847996</v>
      </c>
      <c r="L360" s="17">
        <f t="shared" si="43"/>
        <v>-0.16172757368799057</v>
      </c>
      <c r="M360" s="11">
        <f t="shared" si="44"/>
        <v>8.1102965940767158E-2</v>
      </c>
    </row>
    <row r="361" spans="1:13" x14ac:dyDescent="0.2">
      <c r="A361" s="6">
        <v>45142</v>
      </c>
      <c r="B361" s="16">
        <v>15.0054</v>
      </c>
      <c r="C361" s="16">
        <v>13.711600000000001</v>
      </c>
      <c r="D361" s="16">
        <v>14.686199999999999</v>
      </c>
      <c r="E361" s="16">
        <v>22.648700000000002</v>
      </c>
      <c r="F361" s="16">
        <v>11.555199999999999</v>
      </c>
      <c r="G361" s="29">
        <f t="shared" si="38"/>
        <v>15.518737739463592</v>
      </c>
      <c r="H361" s="17">
        <f t="shared" si="39"/>
        <v>18.188893048271389</v>
      </c>
      <c r="I361" s="17">
        <f t="shared" si="40"/>
        <v>12.848582430655794</v>
      </c>
      <c r="J361" s="17">
        <f t="shared" si="41"/>
        <v>20.859048357079189</v>
      </c>
      <c r="K361" s="17">
        <f t="shared" si="42"/>
        <v>10.178427121847996</v>
      </c>
      <c r="L361" s="17">
        <f t="shared" si="43"/>
        <v>-0.1922501428176451</v>
      </c>
      <c r="M361" s="11">
        <f t="shared" si="44"/>
        <v>9.4358061787099823E-2</v>
      </c>
    </row>
    <row r="362" spans="1:13" x14ac:dyDescent="0.2">
      <c r="A362" s="6">
        <v>45149</v>
      </c>
      <c r="B362" s="16">
        <v>15.0914</v>
      </c>
      <c r="C362" s="16">
        <v>13.482200000000001</v>
      </c>
      <c r="D362" s="16">
        <v>14.433199999999999</v>
      </c>
      <c r="E362" s="16">
        <v>22.618500000000001</v>
      </c>
      <c r="F362" s="16">
        <v>11.145099999999999</v>
      </c>
      <c r="G362" s="29">
        <f t="shared" si="38"/>
        <v>15.518737739463592</v>
      </c>
      <c r="H362" s="17">
        <f t="shared" si="39"/>
        <v>18.188893048271389</v>
      </c>
      <c r="I362" s="17">
        <f t="shared" si="40"/>
        <v>12.848582430655794</v>
      </c>
      <c r="J362" s="17">
        <f t="shared" si="41"/>
        <v>20.859048357079189</v>
      </c>
      <c r="K362" s="17">
        <f t="shared" si="42"/>
        <v>10.178427121847996</v>
      </c>
      <c r="L362" s="17">
        <f t="shared" si="43"/>
        <v>-0.16004227845997276</v>
      </c>
      <c r="M362" s="11">
        <f t="shared" si="44"/>
        <v>0.11935737490913945</v>
      </c>
    </row>
    <row r="363" spans="1:13" x14ac:dyDescent="0.2">
      <c r="A363" s="6">
        <v>45156</v>
      </c>
      <c r="B363" s="16">
        <v>14.8437</v>
      </c>
      <c r="C363" s="16">
        <v>13.1372</v>
      </c>
      <c r="D363" s="16">
        <v>14.0137</v>
      </c>
      <c r="E363" s="16">
        <v>22.5122</v>
      </c>
      <c r="F363" s="16">
        <v>10.6099</v>
      </c>
      <c r="G363" s="29">
        <f t="shared" si="38"/>
        <v>15.518737739463592</v>
      </c>
      <c r="H363" s="17">
        <f t="shared" si="39"/>
        <v>18.188893048271389</v>
      </c>
      <c r="I363" s="17">
        <f t="shared" si="40"/>
        <v>12.848582430655794</v>
      </c>
      <c r="J363" s="17">
        <f t="shared" si="41"/>
        <v>20.859048357079189</v>
      </c>
      <c r="K363" s="17">
        <f t="shared" si="42"/>
        <v>10.178427121847996</v>
      </c>
      <c r="L363" s="17">
        <f t="shared" si="43"/>
        <v>-0.25280841801108223</v>
      </c>
      <c r="M363" s="11">
        <f t="shared" si="44"/>
        <v>0.12989830405261404</v>
      </c>
    </row>
    <row r="364" spans="1:13" x14ac:dyDescent="0.2">
      <c r="A364" s="6">
        <v>45163</v>
      </c>
      <c r="B364" s="16">
        <v>14.960900000000001</v>
      </c>
      <c r="C364" s="16">
        <v>13.212400000000001</v>
      </c>
      <c r="D364" s="16">
        <v>14.058400000000001</v>
      </c>
      <c r="E364" s="16">
        <v>22.565000000000001</v>
      </c>
      <c r="F364" s="16">
        <v>10.597799999999999</v>
      </c>
      <c r="G364" s="29">
        <f t="shared" si="38"/>
        <v>15.518737739463592</v>
      </c>
      <c r="H364" s="17">
        <f t="shared" si="39"/>
        <v>18.188893048271389</v>
      </c>
      <c r="I364" s="17">
        <f t="shared" si="40"/>
        <v>12.848582430655794</v>
      </c>
      <c r="J364" s="17">
        <f t="shared" si="41"/>
        <v>20.859048357079189</v>
      </c>
      <c r="K364" s="17">
        <f t="shared" si="42"/>
        <v>10.178427121847996</v>
      </c>
      <c r="L364" s="17">
        <f t="shared" si="43"/>
        <v>-0.2089158400724869</v>
      </c>
      <c r="M364" s="11">
        <f t="shared" si="44"/>
        <v>0.13233780388120242</v>
      </c>
    </row>
    <row r="365" spans="1:13" x14ac:dyDescent="0.2">
      <c r="A365" s="6">
        <v>45170</v>
      </c>
      <c r="B365" s="16">
        <v>15.0372</v>
      </c>
      <c r="C365" s="16">
        <v>13.5717</v>
      </c>
      <c r="D365" s="16">
        <v>14.475899999999999</v>
      </c>
      <c r="E365" s="16">
        <v>22.979900000000001</v>
      </c>
      <c r="F365" s="16">
        <v>10.824299999999999</v>
      </c>
      <c r="G365" s="29">
        <f t="shared" si="38"/>
        <v>15.518737739463592</v>
      </c>
      <c r="H365" s="17">
        <f t="shared" si="39"/>
        <v>18.188893048271389</v>
      </c>
      <c r="I365" s="17">
        <f t="shared" si="40"/>
        <v>12.848582430655794</v>
      </c>
      <c r="J365" s="17">
        <f t="shared" si="41"/>
        <v>20.859048357079189</v>
      </c>
      <c r="K365" s="17">
        <f t="shared" si="42"/>
        <v>10.178427121847996</v>
      </c>
      <c r="L365" s="17">
        <f t="shared" si="43"/>
        <v>-0.18034072320631961</v>
      </c>
      <c r="M365" s="11">
        <f t="shared" si="44"/>
        <v>0.10798205088529822</v>
      </c>
    </row>
    <row r="366" spans="1:13" x14ac:dyDescent="0.2">
      <c r="A366" s="6">
        <v>45177</v>
      </c>
      <c r="B366" s="16">
        <v>14.801299999999999</v>
      </c>
      <c r="C366" s="16">
        <v>13.503</v>
      </c>
      <c r="D366" s="16">
        <v>14.487500000000001</v>
      </c>
      <c r="E366" s="16">
        <v>23.404399999999999</v>
      </c>
      <c r="F366" s="16">
        <v>10.8432</v>
      </c>
      <c r="G366" s="29">
        <f t="shared" si="38"/>
        <v>15.518737739463592</v>
      </c>
      <c r="H366" s="17">
        <f t="shared" si="39"/>
        <v>18.188893048271389</v>
      </c>
      <c r="I366" s="17">
        <f t="shared" si="40"/>
        <v>12.848582430655794</v>
      </c>
      <c r="J366" s="17">
        <f t="shared" si="41"/>
        <v>20.859048357079189</v>
      </c>
      <c r="K366" s="17">
        <f t="shared" si="42"/>
        <v>10.178427121847996</v>
      </c>
      <c r="L366" s="17">
        <f t="shared" si="43"/>
        <v>-0.26868764415951624</v>
      </c>
      <c r="M366" s="11">
        <f t="shared" si="44"/>
        <v>9.6149003925053655E-2</v>
      </c>
    </row>
    <row r="367" spans="1:13" x14ac:dyDescent="0.2">
      <c r="A367" s="6">
        <v>45184</v>
      </c>
      <c r="B367" s="16">
        <v>14.8217</v>
      </c>
      <c r="C367" s="16">
        <v>13.620699999999999</v>
      </c>
      <c r="D367" s="16">
        <v>14.5932</v>
      </c>
      <c r="E367" s="16">
        <v>23.6904</v>
      </c>
      <c r="F367" s="16">
        <v>10.780099999999999</v>
      </c>
      <c r="G367" s="29">
        <f t="shared" si="38"/>
        <v>15.518737739463592</v>
      </c>
      <c r="H367" s="17">
        <f t="shared" si="39"/>
        <v>18.188893048271389</v>
      </c>
      <c r="I367" s="17">
        <f t="shared" si="40"/>
        <v>12.848582430655794</v>
      </c>
      <c r="J367" s="17">
        <f t="shared" si="41"/>
        <v>20.859048357079189</v>
      </c>
      <c r="K367" s="17">
        <f t="shared" si="42"/>
        <v>10.178427121847996</v>
      </c>
      <c r="L367" s="17">
        <f t="shared" si="43"/>
        <v>-0.26104763912583567</v>
      </c>
      <c r="M367" s="11">
        <f t="shared" si="44"/>
        <v>8.8174616576240705E-2</v>
      </c>
    </row>
    <row r="368" spans="1:13" x14ac:dyDescent="0.2">
      <c r="A368" s="6">
        <v>45191</v>
      </c>
      <c r="B368" s="16">
        <v>14.9298</v>
      </c>
      <c r="C368" s="16">
        <v>13.3711</v>
      </c>
      <c r="D368" s="16">
        <v>14.318199999999999</v>
      </c>
      <c r="E368" s="16">
        <v>23.181699999999999</v>
      </c>
      <c r="F368" s="16">
        <v>10.729100000000001</v>
      </c>
      <c r="G368" s="29">
        <f t="shared" si="38"/>
        <v>15.518737739463592</v>
      </c>
      <c r="H368" s="17">
        <f t="shared" si="39"/>
        <v>18.188893048271389</v>
      </c>
      <c r="I368" s="17">
        <f t="shared" si="40"/>
        <v>12.848582430655794</v>
      </c>
      <c r="J368" s="17">
        <f t="shared" si="41"/>
        <v>20.859048357079189</v>
      </c>
      <c r="K368" s="17">
        <f t="shared" si="42"/>
        <v>10.178427121847996</v>
      </c>
      <c r="L368" s="17">
        <f t="shared" si="43"/>
        <v>-0.22056310264834292</v>
      </c>
      <c r="M368" s="11">
        <f t="shared" si="44"/>
        <v>0.11657230893494175</v>
      </c>
    </row>
    <row r="369" spans="1:13" x14ac:dyDescent="0.2">
      <c r="A369" s="6">
        <v>45198</v>
      </c>
      <c r="B369" s="16">
        <v>14.6297</v>
      </c>
      <c r="C369" s="16">
        <v>13.324400000000001</v>
      </c>
      <c r="D369" s="16">
        <v>14.2149</v>
      </c>
      <c r="E369" s="16">
        <v>23.135999999999999</v>
      </c>
      <c r="F369" s="16">
        <v>10.837999999999999</v>
      </c>
      <c r="G369" s="29">
        <f t="shared" si="38"/>
        <v>15.518737739463592</v>
      </c>
      <c r="H369" s="17">
        <f t="shared" si="39"/>
        <v>18.188893048271389</v>
      </c>
      <c r="I369" s="17">
        <f t="shared" si="40"/>
        <v>12.848582430655794</v>
      </c>
      <c r="J369" s="17">
        <f t="shared" si="41"/>
        <v>20.859048357079189</v>
      </c>
      <c r="K369" s="17">
        <f t="shared" si="42"/>
        <v>10.178427121847996</v>
      </c>
      <c r="L369" s="17">
        <f t="shared" si="43"/>
        <v>-0.33295356885459237</v>
      </c>
      <c r="M369" s="11">
        <f t="shared" si="44"/>
        <v>9.7963135300651372E-2</v>
      </c>
    </row>
    <row r="370" spans="1:13" x14ac:dyDescent="0.2">
      <c r="A370" s="6">
        <v>45205</v>
      </c>
      <c r="B370" s="16">
        <v>14.516</v>
      </c>
      <c r="C370" s="16">
        <v>13.150399999999999</v>
      </c>
      <c r="D370" s="16">
        <v>14.121600000000001</v>
      </c>
      <c r="E370" s="16">
        <v>23.164000000000001</v>
      </c>
      <c r="F370" s="16">
        <v>10.641999999999999</v>
      </c>
      <c r="G370" s="29">
        <f t="shared" si="38"/>
        <v>15.518737739463592</v>
      </c>
      <c r="H370" s="17">
        <f t="shared" si="39"/>
        <v>18.188893048271389</v>
      </c>
      <c r="I370" s="17">
        <f t="shared" si="40"/>
        <v>12.848582430655794</v>
      </c>
      <c r="J370" s="17">
        <f t="shared" si="41"/>
        <v>20.859048357079189</v>
      </c>
      <c r="K370" s="17">
        <f t="shared" si="42"/>
        <v>10.178427121847996</v>
      </c>
      <c r="L370" s="17">
        <f t="shared" si="43"/>
        <v>-0.37553536161584034</v>
      </c>
      <c r="M370" s="11">
        <f t="shared" si="44"/>
        <v>0.10384474996958271</v>
      </c>
    </row>
    <row r="371" spans="1:13" x14ac:dyDescent="0.2">
      <c r="A371" s="6">
        <v>45212</v>
      </c>
      <c r="B371" s="16">
        <v>14.414899999999999</v>
      </c>
      <c r="C371" s="16">
        <v>13.3842</v>
      </c>
      <c r="D371" s="16">
        <v>14.4391</v>
      </c>
      <c r="E371" s="16">
        <v>23.462299999999999</v>
      </c>
      <c r="F371" s="16">
        <v>10.904</v>
      </c>
      <c r="G371" s="29">
        <f t="shared" si="38"/>
        <v>15.518737739463592</v>
      </c>
      <c r="H371" s="17">
        <f t="shared" si="39"/>
        <v>18.188893048271389</v>
      </c>
      <c r="I371" s="17">
        <f t="shared" si="40"/>
        <v>12.848582430655794</v>
      </c>
      <c r="J371" s="17">
        <f t="shared" si="41"/>
        <v>20.859048357079189</v>
      </c>
      <c r="K371" s="17">
        <f t="shared" si="42"/>
        <v>10.178427121847996</v>
      </c>
      <c r="L371" s="17">
        <f t="shared" si="43"/>
        <v>-0.41339832773863899</v>
      </c>
      <c r="M371" s="11">
        <f t="shared" si="44"/>
        <v>7.7008711764617876E-2</v>
      </c>
    </row>
    <row r="372" spans="1:13" x14ac:dyDescent="0.2">
      <c r="A372" s="6">
        <v>45219</v>
      </c>
      <c r="B372" s="16">
        <v>13.980499999999999</v>
      </c>
      <c r="C372" s="16">
        <v>13.036899999999999</v>
      </c>
      <c r="D372" s="16">
        <v>14.01</v>
      </c>
      <c r="E372" s="16">
        <v>23.123899999999999</v>
      </c>
      <c r="F372" s="16">
        <v>10.4034</v>
      </c>
      <c r="G372" s="29">
        <f t="shared" si="38"/>
        <v>15.518737739463592</v>
      </c>
      <c r="H372" s="17">
        <f t="shared" si="39"/>
        <v>18.188893048271389</v>
      </c>
      <c r="I372" s="17">
        <f t="shared" si="40"/>
        <v>12.848582430655794</v>
      </c>
      <c r="J372" s="17">
        <f t="shared" si="41"/>
        <v>20.859048357079189</v>
      </c>
      <c r="K372" s="17">
        <f t="shared" si="42"/>
        <v>10.178427121847996</v>
      </c>
      <c r="L372" s="17">
        <f t="shared" si="43"/>
        <v>-0.57608549374995088</v>
      </c>
      <c r="M372" s="11">
        <f t="shared" si="44"/>
        <v>7.2379169894683626E-2</v>
      </c>
    </row>
    <row r="373" spans="1:13" x14ac:dyDescent="0.2">
      <c r="A373" s="6">
        <v>45226</v>
      </c>
      <c r="B373" s="16">
        <v>13.681699999999999</v>
      </c>
      <c r="C373" s="16">
        <v>12.924899999999999</v>
      </c>
      <c r="D373" s="16">
        <v>13.935</v>
      </c>
      <c r="E373" s="16">
        <v>22.534099999999999</v>
      </c>
      <c r="F373" s="16">
        <v>10.6951</v>
      </c>
      <c r="G373" s="29">
        <f t="shared" si="38"/>
        <v>15.518737739463592</v>
      </c>
      <c r="H373" s="17">
        <f t="shared" si="39"/>
        <v>18.188893048271389</v>
      </c>
      <c r="I373" s="17">
        <f t="shared" si="40"/>
        <v>12.848582430655794</v>
      </c>
      <c r="J373" s="17">
        <f t="shared" si="41"/>
        <v>20.859048357079189</v>
      </c>
      <c r="K373" s="17">
        <f t="shared" si="42"/>
        <v>10.178427121847996</v>
      </c>
      <c r="L373" s="17">
        <f t="shared" si="43"/>
        <v>-0.68798909689032839</v>
      </c>
      <c r="M373" s="11">
        <f t="shared" si="44"/>
        <v>5.8553644515624947E-2</v>
      </c>
    </row>
    <row r="374" spans="1:13" x14ac:dyDescent="0.2">
      <c r="A374" s="6">
        <v>45233</v>
      </c>
      <c r="B374" s="16">
        <v>13.817500000000001</v>
      </c>
      <c r="C374" s="16">
        <v>13.321899999999999</v>
      </c>
      <c r="D374" s="16">
        <v>14.271699999999999</v>
      </c>
      <c r="E374" s="16">
        <v>22.884699999999999</v>
      </c>
      <c r="F374" s="16">
        <v>10.904400000000001</v>
      </c>
      <c r="G374" s="29">
        <f t="shared" si="38"/>
        <v>15.518737739463592</v>
      </c>
      <c r="H374" s="17">
        <f t="shared" si="39"/>
        <v>18.188893048271389</v>
      </c>
      <c r="I374" s="17">
        <f t="shared" si="40"/>
        <v>12.848582430655794</v>
      </c>
      <c r="J374" s="17">
        <f t="shared" si="41"/>
        <v>20.859048357079189</v>
      </c>
      <c r="K374" s="17">
        <f t="shared" si="42"/>
        <v>10.178427121847996</v>
      </c>
      <c r="L374" s="17">
        <f t="shared" si="43"/>
        <v>-0.63713063200925935</v>
      </c>
      <c r="M374" s="11">
        <f t="shared" si="44"/>
        <v>3.7201900629790119E-2</v>
      </c>
    </row>
    <row r="375" spans="1:13" x14ac:dyDescent="0.2">
      <c r="A375" s="6">
        <v>45240</v>
      </c>
      <c r="B375" s="16">
        <v>13.786899999999999</v>
      </c>
      <c r="C375" s="16">
        <v>13.2235</v>
      </c>
      <c r="D375" s="16">
        <v>14.194800000000001</v>
      </c>
      <c r="E375" s="16">
        <v>23.153600000000001</v>
      </c>
      <c r="F375" s="16">
        <v>10.722099999999999</v>
      </c>
      <c r="G375" s="29">
        <f t="shared" si="38"/>
        <v>15.518737739463592</v>
      </c>
      <c r="H375" s="17">
        <f t="shared" si="39"/>
        <v>18.188893048271389</v>
      </c>
      <c r="I375" s="17">
        <f t="shared" si="40"/>
        <v>12.848582430655794</v>
      </c>
      <c r="J375" s="17">
        <f t="shared" si="41"/>
        <v>20.859048357079189</v>
      </c>
      <c r="K375" s="17">
        <f t="shared" si="42"/>
        <v>10.178427121847996</v>
      </c>
      <c r="L375" s="17">
        <f t="shared" si="43"/>
        <v>-0.64859063955978047</v>
      </c>
      <c r="M375" s="11">
        <f t="shared" si="44"/>
        <v>4.2605966650281601E-2</v>
      </c>
    </row>
    <row r="376" spans="1:13" x14ac:dyDescent="0.2">
      <c r="A376" s="6">
        <v>45247</v>
      </c>
      <c r="B376" s="16">
        <v>14.073</v>
      </c>
      <c r="C376" s="16">
        <v>13.5358</v>
      </c>
      <c r="D376" s="16">
        <v>14.4575</v>
      </c>
      <c r="E376" s="16">
        <v>23.506799999999998</v>
      </c>
      <c r="F376" s="16">
        <v>10.8179</v>
      </c>
      <c r="G376" s="29">
        <f t="shared" si="38"/>
        <v>15.518737739463592</v>
      </c>
      <c r="H376" s="17">
        <f t="shared" si="39"/>
        <v>18.188893048271389</v>
      </c>
      <c r="I376" s="17">
        <f t="shared" si="40"/>
        <v>12.848582430655794</v>
      </c>
      <c r="J376" s="17">
        <f t="shared" si="41"/>
        <v>20.859048357079189</v>
      </c>
      <c r="K376" s="17">
        <f t="shared" si="42"/>
        <v>10.178427121847996</v>
      </c>
      <c r="L376" s="17">
        <f t="shared" si="43"/>
        <v>-0.54144331406291935</v>
      </c>
      <c r="M376" s="11">
        <f t="shared" si="44"/>
        <v>3.9687347626294667E-2</v>
      </c>
    </row>
    <row r="377" spans="1:13" x14ac:dyDescent="0.2">
      <c r="A377" s="6">
        <v>45254</v>
      </c>
      <c r="B377" s="16">
        <v>14.1333</v>
      </c>
      <c r="C377" s="16">
        <v>13.496600000000001</v>
      </c>
      <c r="D377" s="16">
        <v>14.422499999999999</v>
      </c>
      <c r="E377" s="16">
        <v>23.5337</v>
      </c>
      <c r="F377" s="16">
        <v>10.8531</v>
      </c>
      <c r="G377" s="29">
        <f t="shared" si="38"/>
        <v>15.518737739463592</v>
      </c>
      <c r="H377" s="17">
        <f t="shared" si="39"/>
        <v>18.188893048271389</v>
      </c>
      <c r="I377" s="17">
        <f t="shared" si="40"/>
        <v>12.848582430655794</v>
      </c>
      <c r="J377" s="17">
        <f t="shared" si="41"/>
        <v>20.859048357079189</v>
      </c>
      <c r="K377" s="17">
        <f t="shared" si="42"/>
        <v>10.178427121847996</v>
      </c>
      <c r="L377" s="17">
        <f t="shared" si="43"/>
        <v>-0.51886035800748176</v>
      </c>
      <c r="M377" s="11">
        <f t="shared" si="44"/>
        <v>4.7174844034793884E-2</v>
      </c>
    </row>
    <row r="378" spans="1:13" x14ac:dyDescent="0.2">
      <c r="A378" s="6">
        <v>45261</v>
      </c>
      <c r="B378" s="16">
        <v>14.5679</v>
      </c>
      <c r="C378" s="16">
        <v>13.573700000000001</v>
      </c>
      <c r="D378" s="16">
        <v>14.4155</v>
      </c>
      <c r="E378" s="16">
        <v>24.269600000000001</v>
      </c>
      <c r="F378" s="16">
        <v>10.583</v>
      </c>
      <c r="G378" s="29">
        <f t="shared" si="38"/>
        <v>15.518737739463592</v>
      </c>
      <c r="H378" s="17">
        <f t="shared" si="39"/>
        <v>18.188893048271389</v>
      </c>
      <c r="I378" s="17">
        <f t="shared" si="40"/>
        <v>12.848582430655794</v>
      </c>
      <c r="J378" s="17">
        <f t="shared" si="41"/>
        <v>20.859048357079189</v>
      </c>
      <c r="K378" s="17">
        <f t="shared" si="42"/>
        <v>10.178427121847996</v>
      </c>
      <c r="L378" s="17">
        <f t="shared" si="43"/>
        <v>-0.35609828998603588</v>
      </c>
      <c r="M378" s="11">
        <f t="shared" si="44"/>
        <v>7.3244583275009711E-2</v>
      </c>
    </row>
    <row r="379" spans="1:13" x14ac:dyDescent="0.2">
      <c r="A379" s="6">
        <v>45268</v>
      </c>
      <c r="B379" s="16">
        <v>14.555199999999999</v>
      </c>
      <c r="C379" s="16">
        <v>13.514799999999999</v>
      </c>
      <c r="D379" s="16">
        <v>14.346500000000001</v>
      </c>
      <c r="E379" s="16">
        <v>24.985900000000001</v>
      </c>
      <c r="F379" s="16">
        <v>10.228999999999999</v>
      </c>
      <c r="G379" s="29">
        <f t="shared" si="38"/>
        <v>15.518737739463592</v>
      </c>
      <c r="H379" s="17">
        <f t="shared" si="39"/>
        <v>18.188893048271389</v>
      </c>
      <c r="I379" s="17">
        <f t="shared" si="40"/>
        <v>12.848582430655794</v>
      </c>
      <c r="J379" s="17">
        <f t="shared" si="41"/>
        <v>20.859048357079189</v>
      </c>
      <c r="K379" s="17">
        <f t="shared" si="42"/>
        <v>10.178427121847996</v>
      </c>
      <c r="L379" s="17">
        <f t="shared" si="43"/>
        <v>-0.36085456762955281</v>
      </c>
      <c r="M379" s="11">
        <f t="shared" si="44"/>
        <v>7.6982271287773463E-2</v>
      </c>
    </row>
    <row r="380" spans="1:13" x14ac:dyDescent="0.2">
      <c r="A380" s="6">
        <v>45275</v>
      </c>
      <c r="B380" s="16">
        <v>14.8109</v>
      </c>
      <c r="C380" s="16">
        <v>13.8376</v>
      </c>
      <c r="D380" s="16">
        <v>14.676</v>
      </c>
      <c r="E380" s="16">
        <v>25.59</v>
      </c>
      <c r="F380" s="16">
        <v>10.392099999999999</v>
      </c>
      <c r="G380" s="29">
        <f t="shared" si="38"/>
        <v>15.518737739463592</v>
      </c>
      <c r="H380" s="17">
        <f t="shared" si="39"/>
        <v>18.188893048271389</v>
      </c>
      <c r="I380" s="17">
        <f t="shared" si="40"/>
        <v>12.848582430655794</v>
      </c>
      <c r="J380" s="17">
        <f t="shared" si="41"/>
        <v>20.859048357079189</v>
      </c>
      <c r="K380" s="17">
        <f t="shared" si="42"/>
        <v>10.178427121847996</v>
      </c>
      <c r="L380" s="17">
        <f t="shared" si="43"/>
        <v>-0.26509234767307815</v>
      </c>
      <c r="M380" s="11">
        <f t="shared" si="44"/>
        <v>7.0337341735561054E-2</v>
      </c>
    </row>
    <row r="381" spans="1:13" x14ac:dyDescent="0.2">
      <c r="A381" s="6">
        <v>45282</v>
      </c>
      <c r="B381" s="16">
        <v>14.896000000000001</v>
      </c>
      <c r="C381" s="16">
        <v>13.6913</v>
      </c>
      <c r="D381" s="16">
        <v>14.486000000000001</v>
      </c>
      <c r="E381" s="16">
        <v>25.467500000000001</v>
      </c>
      <c r="F381" s="16">
        <v>10.003299999999999</v>
      </c>
      <c r="G381" s="29">
        <f t="shared" si="38"/>
        <v>15.518737739463592</v>
      </c>
      <c r="H381" s="17">
        <f t="shared" si="39"/>
        <v>18.188893048271389</v>
      </c>
      <c r="I381" s="17">
        <f t="shared" si="40"/>
        <v>12.848582430655794</v>
      </c>
      <c r="J381" s="17">
        <f t="shared" si="41"/>
        <v>20.859048357079189</v>
      </c>
      <c r="K381" s="17">
        <f t="shared" si="42"/>
        <v>10.178427121847996</v>
      </c>
      <c r="L381" s="17">
        <f t="shared" si="43"/>
        <v>-0.23322154236100923</v>
      </c>
      <c r="M381" s="11">
        <f t="shared" si="44"/>
        <v>8.7990183547216105E-2</v>
      </c>
    </row>
    <row r="382" spans="1:13" x14ac:dyDescent="0.2">
      <c r="A382" s="6">
        <v>45289</v>
      </c>
      <c r="B382" s="16">
        <v>14.991400000000001</v>
      </c>
      <c r="C382" s="16">
        <v>14.104200000000001</v>
      </c>
      <c r="D382" s="16">
        <v>14.999599999999999</v>
      </c>
      <c r="E382" s="16">
        <v>25.945699999999999</v>
      </c>
      <c r="F382" s="16">
        <v>10.492000000000001</v>
      </c>
      <c r="G382" s="29">
        <f t="shared" si="38"/>
        <v>15.518737739463592</v>
      </c>
      <c r="H382" s="17">
        <f t="shared" si="39"/>
        <v>18.188893048271389</v>
      </c>
      <c r="I382" s="17">
        <f t="shared" si="40"/>
        <v>12.848582430655794</v>
      </c>
      <c r="J382" s="17">
        <f t="shared" si="41"/>
        <v>20.859048357079189</v>
      </c>
      <c r="K382" s="17">
        <f t="shared" si="42"/>
        <v>10.178427121847996</v>
      </c>
      <c r="L382" s="17">
        <f t="shared" si="43"/>
        <v>-0.19749328352703338</v>
      </c>
      <c r="M382" s="11">
        <f t="shared" si="44"/>
        <v>6.2903248677698809E-2</v>
      </c>
    </row>
    <row r="383" spans="1:13" x14ac:dyDescent="0.2">
      <c r="A383" s="6">
        <v>45296</v>
      </c>
      <c r="B383" s="16">
        <v>15.182</v>
      </c>
      <c r="C383" s="16">
        <v>13.756500000000001</v>
      </c>
      <c r="D383" s="16">
        <v>14.574199999999999</v>
      </c>
      <c r="E383" s="16">
        <v>26.142499999999998</v>
      </c>
      <c r="F383" s="16">
        <v>10.191700000000001</v>
      </c>
      <c r="G383" s="29">
        <f t="shared" si="38"/>
        <v>15.518737739463592</v>
      </c>
      <c r="H383" s="17">
        <f t="shared" si="39"/>
        <v>18.188893048271389</v>
      </c>
      <c r="I383" s="17">
        <f t="shared" si="40"/>
        <v>12.848582430655794</v>
      </c>
      <c r="J383" s="17">
        <f t="shared" si="41"/>
        <v>20.859048357079189</v>
      </c>
      <c r="K383" s="17">
        <f t="shared" si="42"/>
        <v>10.178427121847996</v>
      </c>
      <c r="L383" s="17">
        <f t="shared" si="43"/>
        <v>-0.12611166786921563</v>
      </c>
      <c r="M383" s="11">
        <f t="shared" si="44"/>
        <v>0.10362374150401621</v>
      </c>
    </row>
    <row r="384" spans="1:13" x14ac:dyDescent="0.2">
      <c r="A384" s="6">
        <v>45303</v>
      </c>
      <c r="B384" s="16">
        <v>15.471500000000001</v>
      </c>
      <c r="C384" s="16">
        <v>13.5566</v>
      </c>
      <c r="D384" s="16">
        <v>14.228999999999999</v>
      </c>
      <c r="E384" s="16">
        <v>26.380199999999999</v>
      </c>
      <c r="F384" s="16">
        <v>10.034700000000001</v>
      </c>
      <c r="G384" s="29">
        <f t="shared" si="38"/>
        <v>15.518737739463592</v>
      </c>
      <c r="H384" s="17">
        <f t="shared" si="39"/>
        <v>18.188893048271389</v>
      </c>
      <c r="I384" s="17">
        <f t="shared" si="40"/>
        <v>12.848582430655794</v>
      </c>
      <c r="J384" s="17">
        <f t="shared" si="41"/>
        <v>20.859048357079189</v>
      </c>
      <c r="K384" s="17">
        <f t="shared" si="42"/>
        <v>10.178427121847996</v>
      </c>
      <c r="L384" s="17">
        <f t="shared" si="43"/>
        <v>-1.7691008200074666E-2</v>
      </c>
      <c r="M384" s="11">
        <f t="shared" si="44"/>
        <v>0.14125223138545073</v>
      </c>
    </row>
    <row r="385" spans="1:13" x14ac:dyDescent="0.2">
      <c r="A385" s="6">
        <v>45310</v>
      </c>
      <c r="B385" s="16">
        <v>15.3245</v>
      </c>
      <c r="C385" s="16">
        <v>13.240399999999999</v>
      </c>
      <c r="D385" s="16">
        <v>13.886799999999999</v>
      </c>
      <c r="E385" s="16">
        <v>26.2685</v>
      </c>
      <c r="F385" s="16">
        <v>9.5015000000000001</v>
      </c>
      <c r="G385" s="29">
        <f t="shared" si="38"/>
        <v>15.518737739463592</v>
      </c>
      <c r="H385" s="17">
        <f t="shared" si="39"/>
        <v>18.188893048271389</v>
      </c>
      <c r="I385" s="17">
        <f t="shared" si="40"/>
        <v>12.848582430655794</v>
      </c>
      <c r="J385" s="17">
        <f t="shared" si="41"/>
        <v>20.859048357079189</v>
      </c>
      <c r="K385" s="17">
        <f t="shared" si="42"/>
        <v>10.178427121847996</v>
      </c>
      <c r="L385" s="17">
        <f t="shared" si="43"/>
        <v>-7.2743985648654058E-2</v>
      </c>
      <c r="M385" s="11">
        <f t="shared" si="44"/>
        <v>0.15740461013262452</v>
      </c>
    </row>
    <row r="386" spans="1:13" x14ac:dyDescent="0.2">
      <c r="A386" s="6">
        <v>45317</v>
      </c>
      <c r="B386" s="16">
        <v>14.8544</v>
      </c>
      <c r="C386" s="16">
        <v>13.4361</v>
      </c>
      <c r="D386" s="16">
        <v>14.110099999999999</v>
      </c>
      <c r="E386" s="16">
        <v>25.029499999999999</v>
      </c>
      <c r="F386" s="16">
        <v>9.8480000000000008</v>
      </c>
      <c r="G386" s="29">
        <f t="shared" si="38"/>
        <v>15.518737739463592</v>
      </c>
      <c r="H386" s="17">
        <f t="shared" si="39"/>
        <v>18.188893048271389</v>
      </c>
      <c r="I386" s="17">
        <f t="shared" si="40"/>
        <v>12.848582430655794</v>
      </c>
      <c r="J386" s="17">
        <f t="shared" si="41"/>
        <v>20.859048357079189</v>
      </c>
      <c r="K386" s="17">
        <f t="shared" si="42"/>
        <v>10.178427121847996</v>
      </c>
      <c r="L386" s="17">
        <f t="shared" si="43"/>
        <v>-0.24880116046890677</v>
      </c>
      <c r="M386" s="11">
        <f t="shared" si="44"/>
        <v>0.10555890474170337</v>
      </c>
    </row>
    <row r="387" spans="1:13" x14ac:dyDescent="0.2">
      <c r="A387" s="6">
        <v>45324</v>
      </c>
      <c r="B387" s="16">
        <v>15.2227</v>
      </c>
      <c r="C387" s="16">
        <v>13.424099999999999</v>
      </c>
      <c r="D387" s="16">
        <v>14.134600000000001</v>
      </c>
      <c r="E387" s="16">
        <v>22.3904</v>
      </c>
      <c r="F387" s="16">
        <v>9.5060000000000002</v>
      </c>
      <c r="G387" s="29">
        <f t="shared" si="38"/>
        <v>15.518737739463592</v>
      </c>
      <c r="H387" s="17">
        <f t="shared" si="39"/>
        <v>18.188893048271389</v>
      </c>
      <c r="I387" s="17">
        <f t="shared" si="40"/>
        <v>12.848582430655794</v>
      </c>
      <c r="J387" s="17">
        <f t="shared" si="41"/>
        <v>20.859048357079189</v>
      </c>
      <c r="K387" s="17">
        <f t="shared" si="42"/>
        <v>10.178427121847996</v>
      </c>
      <c r="L387" s="17">
        <f t="shared" si="43"/>
        <v>-0.11086910880692218</v>
      </c>
      <c r="M387" s="11">
        <f t="shared" si="44"/>
        <v>0.13398291133111351</v>
      </c>
    </row>
    <row r="388" spans="1:13" x14ac:dyDescent="0.2">
      <c r="A388" s="6">
        <v>45331</v>
      </c>
      <c r="B388" s="16">
        <v>15.227600000000001</v>
      </c>
      <c r="C388" s="16">
        <v>13.579800000000001</v>
      </c>
      <c r="D388" s="16">
        <v>14.3041</v>
      </c>
      <c r="E388" s="16">
        <v>22.452500000000001</v>
      </c>
      <c r="F388" s="16">
        <v>9.7786000000000008</v>
      </c>
      <c r="G388" s="29">
        <f t="shared" si="38"/>
        <v>15.518737739463592</v>
      </c>
      <c r="H388" s="17">
        <f t="shared" si="39"/>
        <v>18.188893048271389</v>
      </c>
      <c r="I388" s="17">
        <f t="shared" si="40"/>
        <v>12.848582430655794</v>
      </c>
      <c r="J388" s="17">
        <f t="shared" si="41"/>
        <v>20.859048357079189</v>
      </c>
      <c r="K388" s="17">
        <f t="shared" si="42"/>
        <v>10.178427121847996</v>
      </c>
      <c r="L388" s="17">
        <f t="shared" si="43"/>
        <v>-0.10903400955863582</v>
      </c>
      <c r="M388" s="11">
        <f t="shared" si="44"/>
        <v>0.12134199325468709</v>
      </c>
    </row>
    <row r="389" spans="1:13" x14ac:dyDescent="0.2">
      <c r="A389" s="6">
        <v>45338</v>
      </c>
      <c r="B389" s="16">
        <v>15.6677</v>
      </c>
      <c r="C389" s="16">
        <v>13.8283</v>
      </c>
      <c r="D389" s="16">
        <v>14.6663</v>
      </c>
      <c r="E389" s="16">
        <v>22.748699999999999</v>
      </c>
      <c r="F389" s="16">
        <v>10.142300000000001</v>
      </c>
      <c r="G389" s="29">
        <f t="shared" si="38"/>
        <v>15.518737739463592</v>
      </c>
      <c r="H389" s="17">
        <f t="shared" si="39"/>
        <v>18.188893048271389</v>
      </c>
      <c r="I389" s="17">
        <f t="shared" si="40"/>
        <v>12.848582430655794</v>
      </c>
      <c r="J389" s="17">
        <f t="shared" si="41"/>
        <v>20.859048357079189</v>
      </c>
      <c r="K389" s="17">
        <f t="shared" si="42"/>
        <v>10.178427121847996</v>
      </c>
      <c r="L389" s="17">
        <f t="shared" si="43"/>
        <v>5.5787863741498238E-2</v>
      </c>
      <c r="M389" s="11">
        <f t="shared" si="44"/>
        <v>0.13301707368223137</v>
      </c>
    </row>
    <row r="390" spans="1:13" x14ac:dyDescent="0.2">
      <c r="A390" s="6">
        <v>45345</v>
      </c>
      <c r="B390" s="16">
        <v>15.4472</v>
      </c>
      <c r="C390" s="16">
        <v>14.033799999999999</v>
      </c>
      <c r="D390" s="16">
        <v>14.96</v>
      </c>
      <c r="E390" s="16">
        <v>22.955400000000001</v>
      </c>
      <c r="F390" s="16">
        <v>10.4307</v>
      </c>
      <c r="G390" s="29">
        <f t="shared" ref="G390:G453" si="45">$R$6</f>
        <v>15.518737739463592</v>
      </c>
      <c r="H390" s="17">
        <f t="shared" ref="H390:H453" si="46">$R$6+$R$7</f>
        <v>18.188893048271389</v>
      </c>
      <c r="I390" s="17">
        <f t="shared" ref="I390:I453" si="47">$R$6-$R$7</f>
        <v>12.848582430655794</v>
      </c>
      <c r="J390" s="17">
        <f t="shared" ref="J390:J453" si="48">$R$6+2*$R$7</f>
        <v>20.859048357079189</v>
      </c>
      <c r="K390" s="17">
        <f t="shared" ref="K390:K453" si="49">$R$6-2*$R$7</f>
        <v>10.178427121847996</v>
      </c>
      <c r="L390" s="17">
        <f t="shared" ref="L390:L453" si="50">(B390-$R$6)/$R$7</f>
        <v>-2.6791602431370506E-2</v>
      </c>
      <c r="M390" s="11">
        <f t="shared" ref="M390:M453" si="51">IF(AND(ISNUMBER(B390),ISNUMBER(C390)),B390/C390-1,"")</f>
        <v>0.10071399050862917</v>
      </c>
    </row>
    <row r="391" spans="1:13" x14ac:dyDescent="0.2">
      <c r="A391" s="6">
        <v>45352</v>
      </c>
      <c r="B391" s="16">
        <v>15.162800000000001</v>
      </c>
      <c r="C391" s="16">
        <v>14.060499999999999</v>
      </c>
      <c r="D391" s="16">
        <v>15.0486</v>
      </c>
      <c r="E391" s="16">
        <v>23.075600000000001</v>
      </c>
      <c r="F391" s="16">
        <v>10.460699999999999</v>
      </c>
      <c r="G391" s="29">
        <f t="shared" si="45"/>
        <v>15.518737739463592</v>
      </c>
      <c r="H391" s="17">
        <f t="shared" si="46"/>
        <v>18.188893048271389</v>
      </c>
      <c r="I391" s="17">
        <f t="shared" si="47"/>
        <v>12.848582430655794</v>
      </c>
      <c r="J391" s="17">
        <f t="shared" si="48"/>
        <v>20.859048357079189</v>
      </c>
      <c r="K391" s="17">
        <f t="shared" si="49"/>
        <v>10.178427121847996</v>
      </c>
      <c r="L391" s="17">
        <f t="shared" si="50"/>
        <v>-0.13330226084209118</v>
      </c>
      <c r="M391" s="11">
        <f t="shared" si="51"/>
        <v>7.8396927563031182E-2</v>
      </c>
    </row>
    <row r="392" spans="1:13" x14ac:dyDescent="0.2">
      <c r="A392" s="6">
        <v>45359</v>
      </c>
      <c r="B392" s="16">
        <v>15.4185</v>
      </c>
      <c r="C392" s="16">
        <v>14.404199999999999</v>
      </c>
      <c r="D392" s="16">
        <v>15.5633</v>
      </c>
      <c r="E392" s="16">
        <v>23.205100000000002</v>
      </c>
      <c r="F392" s="16">
        <v>10.3124</v>
      </c>
      <c r="G392" s="29">
        <f t="shared" si="45"/>
        <v>15.518737739463592</v>
      </c>
      <c r="H392" s="17">
        <f t="shared" si="46"/>
        <v>18.188893048271389</v>
      </c>
      <c r="I392" s="17">
        <f t="shared" si="47"/>
        <v>12.848582430655794</v>
      </c>
      <c r="J392" s="17">
        <f t="shared" si="48"/>
        <v>20.859048357079189</v>
      </c>
      <c r="K392" s="17">
        <f t="shared" si="49"/>
        <v>10.178427121847996</v>
      </c>
      <c r="L392" s="17">
        <f t="shared" si="50"/>
        <v>-3.7540040885617174E-2</v>
      </c>
      <c r="M392" s="11">
        <f t="shared" si="51"/>
        <v>7.0416961719498516E-2</v>
      </c>
    </row>
    <row r="393" spans="1:13" x14ac:dyDescent="0.2">
      <c r="A393" s="6">
        <v>45366</v>
      </c>
      <c r="B393" s="16">
        <v>15.3649</v>
      </c>
      <c r="C393" s="16">
        <v>12.2546</v>
      </c>
      <c r="D393" s="16">
        <v>15.8058</v>
      </c>
      <c r="E393" s="16">
        <v>22.5976</v>
      </c>
      <c r="F393" s="16">
        <v>10.693899999999999</v>
      </c>
      <c r="G393" s="29">
        <f t="shared" si="45"/>
        <v>15.518737739463592</v>
      </c>
      <c r="H393" s="17">
        <f t="shared" si="46"/>
        <v>18.188893048271389</v>
      </c>
      <c r="I393" s="17">
        <f t="shared" si="47"/>
        <v>12.848582430655794</v>
      </c>
      <c r="J393" s="17">
        <f t="shared" si="48"/>
        <v>20.859048357079189</v>
      </c>
      <c r="K393" s="17">
        <f t="shared" si="49"/>
        <v>10.178427121847996</v>
      </c>
      <c r="L393" s="17">
        <f t="shared" si="50"/>
        <v>-5.7613779601561513E-2</v>
      </c>
      <c r="M393" s="11">
        <f t="shared" si="51"/>
        <v>0.25380673379792085</v>
      </c>
    </row>
    <row r="394" spans="1:13" x14ac:dyDescent="0.2">
      <c r="A394" s="6">
        <v>45373</v>
      </c>
      <c r="B394" s="16">
        <v>15.2348</v>
      </c>
      <c r="C394" s="16">
        <v>12.349399999999999</v>
      </c>
      <c r="D394" s="16">
        <v>13.0663</v>
      </c>
      <c r="E394" s="16">
        <v>22.779499999999999</v>
      </c>
      <c r="F394" s="16">
        <v>10.9383</v>
      </c>
      <c r="G394" s="29">
        <f t="shared" si="45"/>
        <v>15.518737739463592</v>
      </c>
      <c r="H394" s="17">
        <f t="shared" si="46"/>
        <v>18.188893048271389</v>
      </c>
      <c r="I394" s="17">
        <f t="shared" si="47"/>
        <v>12.848582430655794</v>
      </c>
      <c r="J394" s="17">
        <f t="shared" si="48"/>
        <v>20.859048357079189</v>
      </c>
      <c r="K394" s="17">
        <f t="shared" si="49"/>
        <v>10.178427121847996</v>
      </c>
      <c r="L394" s="17">
        <f t="shared" si="50"/>
        <v>-0.10633753719380774</v>
      </c>
      <c r="M394" s="11">
        <f t="shared" si="51"/>
        <v>0.23364697880058949</v>
      </c>
    </row>
    <row r="395" spans="1:13" x14ac:dyDescent="0.2">
      <c r="A395" s="6">
        <v>45380</v>
      </c>
      <c r="B395" s="16">
        <v>14.027100000000001</v>
      </c>
      <c r="C395" s="16">
        <v>12.498699999999999</v>
      </c>
      <c r="D395" s="16">
        <v>13.197699999999999</v>
      </c>
      <c r="E395" s="16">
        <v>23.102900000000002</v>
      </c>
      <c r="F395" s="16">
        <v>9.4618000000000002</v>
      </c>
      <c r="G395" s="29">
        <f t="shared" si="45"/>
        <v>15.518737739463592</v>
      </c>
      <c r="H395" s="17">
        <f t="shared" si="46"/>
        <v>18.188893048271389</v>
      </c>
      <c r="I395" s="17">
        <f t="shared" si="47"/>
        <v>12.848582430655794</v>
      </c>
      <c r="J395" s="17">
        <f t="shared" si="48"/>
        <v>20.859048357079189</v>
      </c>
      <c r="K395" s="17">
        <f t="shared" si="49"/>
        <v>10.178427121847996</v>
      </c>
      <c r="L395" s="17">
        <f t="shared" si="50"/>
        <v>-0.55863332538870003</v>
      </c>
      <c r="M395" s="11">
        <f t="shared" si="51"/>
        <v>0.12228471761063164</v>
      </c>
    </row>
    <row r="396" spans="1:13" x14ac:dyDescent="0.2">
      <c r="A396" s="6">
        <v>45387</v>
      </c>
      <c r="B396" s="16">
        <v>13.7842</v>
      </c>
      <c r="C396" s="16">
        <v>12.572800000000001</v>
      </c>
      <c r="D396" s="16">
        <v>13.2362</v>
      </c>
      <c r="E396" s="16">
        <v>23.3492</v>
      </c>
      <c r="F396" s="16">
        <v>9.4565000000000001</v>
      </c>
      <c r="G396" s="29">
        <f t="shared" si="45"/>
        <v>15.518737739463592</v>
      </c>
      <c r="H396" s="17">
        <f t="shared" si="46"/>
        <v>18.188893048271389</v>
      </c>
      <c r="I396" s="17">
        <f t="shared" si="47"/>
        <v>12.848582430655794</v>
      </c>
      <c r="J396" s="17">
        <f t="shared" si="48"/>
        <v>20.859048357079189</v>
      </c>
      <c r="K396" s="17">
        <f t="shared" si="49"/>
        <v>10.178427121847996</v>
      </c>
      <c r="L396" s="17">
        <f t="shared" si="50"/>
        <v>-0.64960181669659078</v>
      </c>
      <c r="M396" s="11">
        <f t="shared" si="51"/>
        <v>9.6350852634258022E-2</v>
      </c>
    </row>
    <row r="397" spans="1:13" x14ac:dyDescent="0.2">
      <c r="A397" s="6">
        <v>45394</v>
      </c>
      <c r="B397" s="16">
        <v>13.7883</v>
      </c>
      <c r="C397" s="16">
        <v>12.613799999999999</v>
      </c>
      <c r="D397" s="16">
        <v>13.2986</v>
      </c>
      <c r="E397" s="16">
        <v>23.405200000000001</v>
      </c>
      <c r="F397" s="16">
        <v>9.5047999999999995</v>
      </c>
      <c r="G397" s="29">
        <f t="shared" si="45"/>
        <v>15.518737739463592</v>
      </c>
      <c r="H397" s="17">
        <f t="shared" si="46"/>
        <v>18.188893048271389</v>
      </c>
      <c r="I397" s="17">
        <f t="shared" si="47"/>
        <v>12.848582430655794</v>
      </c>
      <c r="J397" s="17">
        <f t="shared" si="48"/>
        <v>20.859048357079189</v>
      </c>
      <c r="K397" s="17">
        <f t="shared" si="49"/>
        <v>10.178427121847996</v>
      </c>
      <c r="L397" s="17">
        <f t="shared" si="50"/>
        <v>-0.64806632548884158</v>
      </c>
      <c r="M397" s="11">
        <f t="shared" si="51"/>
        <v>9.3112305570089982E-2</v>
      </c>
    </row>
    <row r="398" spans="1:13" x14ac:dyDescent="0.2">
      <c r="A398" s="6">
        <v>45401</v>
      </c>
      <c r="B398" s="16">
        <v>13.1631</v>
      </c>
      <c r="C398" s="16">
        <v>12.1921</v>
      </c>
      <c r="D398" s="16">
        <v>12.835699999999999</v>
      </c>
      <c r="E398" s="16">
        <v>22.923200000000001</v>
      </c>
      <c r="F398" s="16">
        <v>9.3397000000000006</v>
      </c>
      <c r="G398" s="29">
        <f t="shared" si="45"/>
        <v>15.518737739463592</v>
      </c>
      <c r="H398" s="17">
        <f t="shared" si="46"/>
        <v>18.188893048271389</v>
      </c>
      <c r="I398" s="17">
        <f t="shared" si="47"/>
        <v>12.848582430655794</v>
      </c>
      <c r="J398" s="17">
        <f t="shared" si="48"/>
        <v>20.859048357079189</v>
      </c>
      <c r="K398" s="17">
        <f t="shared" si="49"/>
        <v>10.178427121847996</v>
      </c>
      <c r="L398" s="17">
        <f t="shared" si="50"/>
        <v>-0.8822100091681051</v>
      </c>
      <c r="M398" s="11">
        <f t="shared" si="51"/>
        <v>7.964173522198803E-2</v>
      </c>
    </row>
    <row r="399" spans="1:13" x14ac:dyDescent="0.2">
      <c r="A399" s="6">
        <v>45408</v>
      </c>
      <c r="B399" s="16">
        <v>12.936500000000001</v>
      </c>
      <c r="C399" s="16">
        <v>12.622400000000001</v>
      </c>
      <c r="D399" s="16">
        <v>13.4026</v>
      </c>
      <c r="E399" s="16">
        <v>23.3612</v>
      </c>
      <c r="F399" s="16">
        <v>10.156700000000001</v>
      </c>
      <c r="G399" s="29">
        <f t="shared" si="45"/>
        <v>15.518737739463592</v>
      </c>
      <c r="H399" s="17">
        <f t="shared" si="46"/>
        <v>18.188893048271389</v>
      </c>
      <c r="I399" s="17">
        <f t="shared" si="47"/>
        <v>12.848582430655794</v>
      </c>
      <c r="J399" s="17">
        <f t="shared" si="48"/>
        <v>20.859048357079189</v>
      </c>
      <c r="K399" s="17">
        <f t="shared" si="49"/>
        <v>10.178427121847996</v>
      </c>
      <c r="L399" s="17">
        <f t="shared" si="50"/>
        <v>-0.96707398665006461</v>
      </c>
      <c r="M399" s="11">
        <f t="shared" si="51"/>
        <v>2.4884332615033644E-2</v>
      </c>
    </row>
    <row r="400" spans="1:13" x14ac:dyDescent="0.2">
      <c r="A400" s="6">
        <v>45415</v>
      </c>
      <c r="B400" s="16">
        <v>13.167999999999999</v>
      </c>
      <c r="C400" s="16">
        <v>12.819699999999999</v>
      </c>
      <c r="D400" s="16">
        <v>13.6523</v>
      </c>
      <c r="E400" s="16">
        <v>23.447900000000001</v>
      </c>
      <c r="F400" s="16">
        <v>10.614699999999999</v>
      </c>
      <c r="G400" s="29">
        <f t="shared" si="45"/>
        <v>15.518737739463592</v>
      </c>
      <c r="H400" s="17">
        <f t="shared" si="46"/>
        <v>18.188893048271389</v>
      </c>
      <c r="I400" s="17">
        <f t="shared" si="47"/>
        <v>12.848582430655794</v>
      </c>
      <c r="J400" s="17">
        <f t="shared" si="48"/>
        <v>20.859048357079189</v>
      </c>
      <c r="K400" s="17">
        <f t="shared" si="49"/>
        <v>10.178427121847996</v>
      </c>
      <c r="L400" s="17">
        <f t="shared" si="50"/>
        <v>-0.88037490991981948</v>
      </c>
      <c r="M400" s="11">
        <f t="shared" si="51"/>
        <v>2.7169122522368028E-2</v>
      </c>
    </row>
    <row r="401" spans="1:13" x14ac:dyDescent="0.2">
      <c r="A401" s="6">
        <v>45422</v>
      </c>
      <c r="B401" s="16">
        <v>12.941700000000001</v>
      </c>
      <c r="C401" s="16">
        <v>12.943</v>
      </c>
      <c r="D401" s="16">
        <v>13.806100000000001</v>
      </c>
      <c r="E401" s="16">
        <v>23.0091</v>
      </c>
      <c r="F401" s="16">
        <v>10.831300000000001</v>
      </c>
      <c r="G401" s="29">
        <f t="shared" si="45"/>
        <v>15.518737739463592</v>
      </c>
      <c r="H401" s="17">
        <f t="shared" si="46"/>
        <v>18.188893048271389</v>
      </c>
      <c r="I401" s="17">
        <f t="shared" si="47"/>
        <v>12.848582430655794</v>
      </c>
      <c r="J401" s="17">
        <f t="shared" si="48"/>
        <v>20.859048357079189</v>
      </c>
      <c r="K401" s="17">
        <f t="shared" si="49"/>
        <v>10.178427121847996</v>
      </c>
      <c r="L401" s="17">
        <f t="shared" si="50"/>
        <v>-0.96512653438657736</v>
      </c>
      <c r="M401" s="11">
        <f t="shared" si="51"/>
        <v>-1.004403924900199E-4</v>
      </c>
    </row>
    <row r="402" spans="1:13" x14ac:dyDescent="0.2">
      <c r="A402" s="6">
        <v>45429</v>
      </c>
      <c r="B402" s="16">
        <v>13.3949</v>
      </c>
      <c r="C402" s="16">
        <v>13.2309</v>
      </c>
      <c r="D402" s="16">
        <v>14.191000000000001</v>
      </c>
      <c r="E402" s="16">
        <v>23.496400000000001</v>
      </c>
      <c r="F402" s="16">
        <v>11.2538</v>
      </c>
      <c r="G402" s="29">
        <f t="shared" si="45"/>
        <v>15.518737739463592</v>
      </c>
      <c r="H402" s="17">
        <f t="shared" si="46"/>
        <v>18.188893048271389</v>
      </c>
      <c r="I402" s="17">
        <f t="shared" si="47"/>
        <v>12.848582430655794</v>
      </c>
      <c r="J402" s="17">
        <f t="shared" si="48"/>
        <v>20.859048357079189</v>
      </c>
      <c r="K402" s="17">
        <f t="shared" si="49"/>
        <v>10.178427121847996</v>
      </c>
      <c r="L402" s="17">
        <f t="shared" si="50"/>
        <v>-0.79539857942265846</v>
      </c>
      <c r="M402" s="11">
        <f t="shared" si="51"/>
        <v>1.2395226326251452E-2</v>
      </c>
    </row>
    <row r="403" spans="1:13" x14ac:dyDescent="0.2">
      <c r="A403" s="6">
        <v>45436</v>
      </c>
      <c r="B403" s="16">
        <v>13.0039</v>
      </c>
      <c r="C403" s="16">
        <v>12.9861</v>
      </c>
      <c r="D403" s="16">
        <v>13.9351</v>
      </c>
      <c r="E403" s="16">
        <v>24.014900000000001</v>
      </c>
      <c r="F403" s="16">
        <v>10.6144</v>
      </c>
      <c r="G403" s="29">
        <f t="shared" si="45"/>
        <v>15.518737739463592</v>
      </c>
      <c r="H403" s="17">
        <f t="shared" si="46"/>
        <v>18.188893048271389</v>
      </c>
      <c r="I403" s="17">
        <f t="shared" si="47"/>
        <v>12.848582430655794</v>
      </c>
      <c r="J403" s="17">
        <f t="shared" si="48"/>
        <v>20.859048357079189</v>
      </c>
      <c r="K403" s="17">
        <f t="shared" si="49"/>
        <v>10.178427121847996</v>
      </c>
      <c r="L403" s="17">
        <f t="shared" si="50"/>
        <v>-0.94183200923486599</v>
      </c>
      <c r="M403" s="11">
        <f t="shared" si="51"/>
        <v>1.3706963599540156E-3</v>
      </c>
    </row>
    <row r="404" spans="1:13" x14ac:dyDescent="0.2">
      <c r="A404" s="6">
        <v>45443</v>
      </c>
      <c r="B404" s="16">
        <v>12.6427</v>
      </c>
      <c r="C404" s="16">
        <v>12.603999999999999</v>
      </c>
      <c r="D404" s="16">
        <v>13.5189</v>
      </c>
      <c r="E404" s="16">
        <v>23.460599999999999</v>
      </c>
      <c r="F404" s="16">
        <v>10.2705</v>
      </c>
      <c r="G404" s="29">
        <f t="shared" si="45"/>
        <v>15.518737739463592</v>
      </c>
      <c r="H404" s="17">
        <f t="shared" si="46"/>
        <v>18.188893048271389</v>
      </c>
      <c r="I404" s="17">
        <f t="shared" si="47"/>
        <v>12.848582430655794</v>
      </c>
      <c r="J404" s="17">
        <f t="shared" si="48"/>
        <v>20.859048357079189</v>
      </c>
      <c r="K404" s="17">
        <f t="shared" si="49"/>
        <v>10.178427121847996</v>
      </c>
      <c r="L404" s="17">
        <f t="shared" si="50"/>
        <v>-1.0771050395370894</v>
      </c>
      <c r="M404" s="11">
        <f t="shared" si="51"/>
        <v>3.0704538241828061E-3</v>
      </c>
    </row>
    <row r="405" spans="1:13" x14ac:dyDescent="0.2">
      <c r="A405" s="6">
        <v>45450</v>
      </c>
      <c r="B405" s="16">
        <v>13.4237</v>
      </c>
      <c r="C405" s="16">
        <v>12.971500000000001</v>
      </c>
      <c r="D405" s="16">
        <v>13.985200000000001</v>
      </c>
      <c r="E405" s="16">
        <v>24.4893</v>
      </c>
      <c r="F405" s="16">
        <v>10.347</v>
      </c>
      <c r="G405" s="29">
        <f t="shared" si="45"/>
        <v>15.518737739463592</v>
      </c>
      <c r="H405" s="17">
        <f t="shared" si="46"/>
        <v>18.188893048271389</v>
      </c>
      <c r="I405" s="17">
        <f t="shared" si="47"/>
        <v>12.848582430655794</v>
      </c>
      <c r="J405" s="17">
        <f t="shared" si="48"/>
        <v>20.859048357079189</v>
      </c>
      <c r="K405" s="17">
        <f t="shared" si="49"/>
        <v>10.178427121847996</v>
      </c>
      <c r="L405" s="17">
        <f t="shared" si="50"/>
        <v>-0.78461268996334477</v>
      </c>
      <c r="M405" s="11">
        <f t="shared" si="51"/>
        <v>3.4861041514088642E-2</v>
      </c>
    </row>
    <row r="406" spans="1:13" x14ac:dyDescent="0.2">
      <c r="A406" s="6">
        <v>45457</v>
      </c>
      <c r="B406" s="16">
        <v>12.8614</v>
      </c>
      <c r="C406" s="16">
        <v>13.020300000000001</v>
      </c>
      <c r="D406" s="16">
        <v>14.0251</v>
      </c>
      <c r="E406" s="16">
        <v>24.878599999999999</v>
      </c>
      <c r="F406" s="16">
        <v>10.212199999999999</v>
      </c>
      <c r="G406" s="29">
        <f t="shared" si="45"/>
        <v>15.518737739463592</v>
      </c>
      <c r="H406" s="17">
        <f t="shared" si="46"/>
        <v>18.188893048271389</v>
      </c>
      <c r="I406" s="17">
        <f t="shared" si="47"/>
        <v>12.848582430655794</v>
      </c>
      <c r="J406" s="17">
        <f t="shared" si="48"/>
        <v>20.859048357079189</v>
      </c>
      <c r="K406" s="17">
        <f t="shared" si="49"/>
        <v>10.178427121847996</v>
      </c>
      <c r="L406" s="17">
        <f t="shared" si="50"/>
        <v>-0.99519969145542753</v>
      </c>
      <c r="M406" s="11">
        <f t="shared" si="51"/>
        <v>-1.2204019876654204E-2</v>
      </c>
    </row>
    <row r="407" spans="1:13" x14ac:dyDescent="0.2">
      <c r="A407" s="6">
        <v>45464</v>
      </c>
      <c r="B407" s="16">
        <v>13.314299999999999</v>
      </c>
      <c r="C407" s="16">
        <v>13.1563</v>
      </c>
      <c r="D407" s="16">
        <v>14.1066</v>
      </c>
      <c r="E407" s="16">
        <v>24.848600000000001</v>
      </c>
      <c r="F407" s="16">
        <v>10.118600000000001</v>
      </c>
      <c r="G407" s="29">
        <f t="shared" si="45"/>
        <v>15.518737739463592</v>
      </c>
      <c r="H407" s="17">
        <f t="shared" si="46"/>
        <v>18.188893048271389</v>
      </c>
      <c r="I407" s="17">
        <f t="shared" si="47"/>
        <v>12.848582430655794</v>
      </c>
      <c r="J407" s="17">
        <f t="shared" si="48"/>
        <v>20.859048357079189</v>
      </c>
      <c r="K407" s="17">
        <f t="shared" si="49"/>
        <v>10.178427121847996</v>
      </c>
      <c r="L407" s="17">
        <f t="shared" si="50"/>
        <v>-0.82558408950670958</v>
      </c>
      <c r="M407" s="11">
        <f t="shared" si="51"/>
        <v>1.2009455546012182E-2</v>
      </c>
    </row>
    <row r="408" spans="1:13" x14ac:dyDescent="0.2">
      <c r="A408" s="6">
        <v>45471</v>
      </c>
      <c r="B408" s="16">
        <v>13.6815</v>
      </c>
      <c r="C408" s="16">
        <v>13.151899999999999</v>
      </c>
      <c r="D408" s="16">
        <v>14.0344</v>
      </c>
      <c r="E408" s="16">
        <v>25.3291</v>
      </c>
      <c r="F408" s="16">
        <v>9.9131999999999998</v>
      </c>
      <c r="G408" s="29">
        <f t="shared" si="45"/>
        <v>15.518737739463592</v>
      </c>
      <c r="H408" s="17">
        <f t="shared" si="46"/>
        <v>18.188893048271389</v>
      </c>
      <c r="I408" s="17">
        <f t="shared" si="47"/>
        <v>12.848582430655794</v>
      </c>
      <c r="J408" s="17">
        <f t="shared" si="48"/>
        <v>20.859048357079189</v>
      </c>
      <c r="K408" s="17">
        <f t="shared" si="49"/>
        <v>10.178427121847996</v>
      </c>
      <c r="L408" s="17">
        <f t="shared" si="50"/>
        <v>-0.68806399890046233</v>
      </c>
      <c r="M408" s="11">
        <f t="shared" si="51"/>
        <v>4.0267946076232297E-2</v>
      </c>
    </row>
    <row r="409" spans="1:13" x14ac:dyDescent="0.2">
      <c r="A409" s="6">
        <v>45478</v>
      </c>
      <c r="B409" s="16">
        <v>13.9429</v>
      </c>
      <c r="C409" s="16">
        <v>13.3644</v>
      </c>
      <c r="D409" s="16">
        <v>14.246700000000001</v>
      </c>
      <c r="E409" s="16">
        <v>25.552099999999999</v>
      </c>
      <c r="F409" s="16">
        <v>10.0038</v>
      </c>
      <c r="G409" s="29">
        <f t="shared" si="45"/>
        <v>15.518737739463592</v>
      </c>
      <c r="H409" s="17">
        <f t="shared" si="46"/>
        <v>18.188893048271389</v>
      </c>
      <c r="I409" s="17">
        <f t="shared" si="47"/>
        <v>12.848582430655794</v>
      </c>
      <c r="J409" s="17">
        <f t="shared" si="48"/>
        <v>20.859048357079189</v>
      </c>
      <c r="K409" s="17">
        <f t="shared" si="49"/>
        <v>10.178427121847996</v>
      </c>
      <c r="L409" s="17">
        <f t="shared" si="50"/>
        <v>-0.59016707165516558</v>
      </c>
      <c r="M409" s="11">
        <f t="shared" si="51"/>
        <v>4.328664212385136E-2</v>
      </c>
    </row>
    <row r="410" spans="1:13" x14ac:dyDescent="0.2">
      <c r="A410" s="6">
        <v>45485</v>
      </c>
      <c r="B410" s="16">
        <v>14.1686</v>
      </c>
      <c r="C410" s="16">
        <v>13.542</v>
      </c>
      <c r="D410" s="16">
        <v>14.4496</v>
      </c>
      <c r="E410" s="16">
        <v>25.747699999999998</v>
      </c>
      <c r="F410" s="16">
        <v>10.260899999999999</v>
      </c>
      <c r="G410" s="29">
        <f t="shared" si="45"/>
        <v>15.518737739463592</v>
      </c>
      <c r="H410" s="17">
        <f t="shared" si="46"/>
        <v>18.188893048271389</v>
      </c>
      <c r="I410" s="17">
        <f t="shared" si="47"/>
        <v>12.848582430655794</v>
      </c>
      <c r="J410" s="17">
        <f t="shared" si="48"/>
        <v>20.859048357079189</v>
      </c>
      <c r="K410" s="17">
        <f t="shared" si="49"/>
        <v>10.178427121847996</v>
      </c>
      <c r="L410" s="17">
        <f t="shared" si="50"/>
        <v>-0.50564015321880951</v>
      </c>
      <c r="M410" s="11">
        <f t="shared" si="51"/>
        <v>4.6270861024959364E-2</v>
      </c>
    </row>
    <row r="411" spans="1:13" x14ac:dyDescent="0.2">
      <c r="A411" s="6">
        <v>45492</v>
      </c>
      <c r="B411" s="16">
        <v>14.1858</v>
      </c>
      <c r="C411" s="16">
        <v>13.143700000000001</v>
      </c>
      <c r="D411" s="16">
        <v>13.952199999999999</v>
      </c>
      <c r="E411" s="16">
        <v>25.843900000000001</v>
      </c>
      <c r="F411" s="16">
        <v>9.7829999999999995</v>
      </c>
      <c r="G411" s="29">
        <f t="shared" si="45"/>
        <v>15.518737739463592</v>
      </c>
      <c r="H411" s="17">
        <f t="shared" si="46"/>
        <v>18.188893048271389</v>
      </c>
      <c r="I411" s="17">
        <f t="shared" si="47"/>
        <v>12.848582430655794</v>
      </c>
      <c r="J411" s="17">
        <f t="shared" si="48"/>
        <v>20.859048357079189</v>
      </c>
      <c r="K411" s="17">
        <f t="shared" si="49"/>
        <v>10.178427121847996</v>
      </c>
      <c r="L411" s="17">
        <f t="shared" si="50"/>
        <v>-0.49919858034727477</v>
      </c>
      <c r="M411" s="11">
        <f t="shared" si="51"/>
        <v>7.9285132801266034E-2</v>
      </c>
    </row>
    <row r="412" spans="1:13" x14ac:dyDescent="0.2">
      <c r="A412" s="6">
        <v>45499</v>
      </c>
      <c r="B412" s="16">
        <v>14.174300000000001</v>
      </c>
      <c r="C412" s="16">
        <v>12.9481</v>
      </c>
      <c r="D412" s="16">
        <v>13.713800000000001</v>
      </c>
      <c r="E412" s="16">
        <v>26.511800000000001</v>
      </c>
      <c r="F412" s="16">
        <v>9.5584000000000007</v>
      </c>
      <c r="G412" s="29">
        <f t="shared" si="45"/>
        <v>15.518737739463592</v>
      </c>
      <c r="H412" s="17">
        <f t="shared" si="46"/>
        <v>18.188893048271389</v>
      </c>
      <c r="I412" s="17">
        <f t="shared" si="47"/>
        <v>12.848582430655794</v>
      </c>
      <c r="J412" s="17">
        <f t="shared" si="48"/>
        <v>20.859048357079189</v>
      </c>
      <c r="K412" s="17">
        <f t="shared" si="49"/>
        <v>10.178427121847996</v>
      </c>
      <c r="L412" s="17">
        <f t="shared" si="50"/>
        <v>-0.50350544592998669</v>
      </c>
      <c r="M412" s="11">
        <f t="shared" si="51"/>
        <v>9.4701153064928434E-2</v>
      </c>
    </row>
    <row r="413" spans="1:13" x14ac:dyDescent="0.2">
      <c r="A413" s="6">
        <v>45506</v>
      </c>
      <c r="B413" s="16">
        <v>14.1737</v>
      </c>
      <c r="C413" s="16">
        <v>12.7082</v>
      </c>
      <c r="D413" s="16">
        <v>13.4635</v>
      </c>
      <c r="E413" s="16">
        <v>25.7104</v>
      </c>
      <c r="F413" s="16">
        <v>9.4559999999999995</v>
      </c>
      <c r="G413" s="29">
        <f t="shared" si="45"/>
        <v>15.518737739463592</v>
      </c>
      <c r="H413" s="17">
        <f t="shared" si="46"/>
        <v>18.188893048271389</v>
      </c>
      <c r="I413" s="17">
        <f t="shared" si="47"/>
        <v>12.848582430655794</v>
      </c>
      <c r="J413" s="17">
        <f t="shared" si="48"/>
        <v>20.859048357079189</v>
      </c>
      <c r="K413" s="17">
        <f t="shared" si="49"/>
        <v>10.178427121847996</v>
      </c>
      <c r="L413" s="17">
        <f t="shared" si="50"/>
        <v>-0.50373015196038917</v>
      </c>
      <c r="M413" s="11">
        <f t="shared" si="51"/>
        <v>0.11531924269369398</v>
      </c>
    </row>
    <row r="414" spans="1:13" x14ac:dyDescent="0.2">
      <c r="A414" s="6">
        <v>45513</v>
      </c>
      <c r="B414" s="16">
        <v>14.1264</v>
      </c>
      <c r="C414" s="16">
        <v>12.739699999999999</v>
      </c>
      <c r="D414" s="16">
        <v>13.3987</v>
      </c>
      <c r="E414" s="16">
        <v>25.333100000000002</v>
      </c>
      <c r="F414" s="16">
        <v>9.5624000000000002</v>
      </c>
      <c r="G414" s="29">
        <f t="shared" si="45"/>
        <v>15.518737739463592</v>
      </c>
      <c r="H414" s="17">
        <f t="shared" si="46"/>
        <v>18.188893048271389</v>
      </c>
      <c r="I414" s="17">
        <f t="shared" si="47"/>
        <v>12.848582430655794</v>
      </c>
      <c r="J414" s="17">
        <f t="shared" si="48"/>
        <v>20.859048357079189</v>
      </c>
      <c r="K414" s="17">
        <f t="shared" si="49"/>
        <v>10.178427121847996</v>
      </c>
      <c r="L414" s="17">
        <f t="shared" si="50"/>
        <v>-0.52144447735710886</v>
      </c>
      <c r="M414" s="11">
        <f t="shared" si="51"/>
        <v>0.10884871700275522</v>
      </c>
    </row>
    <row r="415" spans="1:13" x14ac:dyDescent="0.2">
      <c r="A415" s="6">
        <v>45520</v>
      </c>
      <c r="B415" s="16">
        <v>14.4855</v>
      </c>
      <c r="C415" s="16">
        <v>13.013299999999999</v>
      </c>
      <c r="D415" s="16">
        <v>13.682600000000001</v>
      </c>
      <c r="E415" s="16">
        <v>25.5686</v>
      </c>
      <c r="F415" s="16">
        <v>9.6691000000000003</v>
      </c>
      <c r="G415" s="29">
        <f t="shared" si="45"/>
        <v>15.518737739463592</v>
      </c>
      <c r="H415" s="17">
        <f t="shared" si="46"/>
        <v>18.188893048271389</v>
      </c>
      <c r="I415" s="17">
        <f t="shared" si="47"/>
        <v>12.848582430655794</v>
      </c>
      <c r="J415" s="17">
        <f t="shared" si="48"/>
        <v>20.859048357079189</v>
      </c>
      <c r="K415" s="17">
        <f t="shared" si="49"/>
        <v>10.178427121847996</v>
      </c>
      <c r="L415" s="17">
        <f t="shared" si="50"/>
        <v>-0.38695791816129388</v>
      </c>
      <c r="M415" s="11">
        <f t="shared" si="51"/>
        <v>0.11313041273158997</v>
      </c>
    </row>
    <row r="416" spans="1:13" x14ac:dyDescent="0.2">
      <c r="A416" s="6">
        <v>45527</v>
      </c>
      <c r="B416" s="16">
        <v>14.6805</v>
      </c>
      <c r="C416" s="16">
        <v>13.0252</v>
      </c>
      <c r="D416" s="16">
        <v>13.6653</v>
      </c>
      <c r="E416" s="16">
        <v>25.8872</v>
      </c>
      <c r="F416" s="16">
        <v>9.6127000000000002</v>
      </c>
      <c r="G416" s="29">
        <f t="shared" si="45"/>
        <v>15.518737739463592</v>
      </c>
      <c r="H416" s="17">
        <f t="shared" si="46"/>
        <v>18.188893048271389</v>
      </c>
      <c r="I416" s="17">
        <f t="shared" si="47"/>
        <v>12.848582430655794</v>
      </c>
      <c r="J416" s="17">
        <f t="shared" si="48"/>
        <v>20.859048357079189</v>
      </c>
      <c r="K416" s="17">
        <f t="shared" si="49"/>
        <v>10.178427121847996</v>
      </c>
      <c r="L416" s="17">
        <f t="shared" si="50"/>
        <v>-0.31392845828052529</v>
      </c>
      <c r="M416" s="11">
        <f t="shared" si="51"/>
        <v>0.12708442096858397</v>
      </c>
    </row>
    <row r="417" spans="1:13" x14ac:dyDescent="0.2">
      <c r="A417" s="6">
        <v>45534</v>
      </c>
      <c r="B417" s="16">
        <v>14.743399999999999</v>
      </c>
      <c r="C417" s="16">
        <v>12.981400000000001</v>
      </c>
      <c r="D417" s="16">
        <v>13.638500000000001</v>
      </c>
      <c r="E417" s="16">
        <v>26.310700000000001</v>
      </c>
      <c r="F417" s="16">
        <v>9.5264000000000006</v>
      </c>
      <c r="G417" s="29">
        <f t="shared" si="45"/>
        <v>15.518737739463592</v>
      </c>
      <c r="H417" s="17">
        <f t="shared" si="46"/>
        <v>18.188893048271389</v>
      </c>
      <c r="I417" s="17">
        <f t="shared" si="47"/>
        <v>12.848582430655794</v>
      </c>
      <c r="J417" s="17">
        <f t="shared" si="48"/>
        <v>20.859048357079189</v>
      </c>
      <c r="K417" s="17">
        <f t="shared" si="49"/>
        <v>10.178427121847996</v>
      </c>
      <c r="L417" s="17">
        <f t="shared" si="50"/>
        <v>-0.29037177609334441</v>
      </c>
      <c r="M417" s="11">
        <f t="shared" si="51"/>
        <v>0.13573266365723247</v>
      </c>
    </row>
    <row r="418" spans="1:13" x14ac:dyDescent="0.2">
      <c r="A418" s="6">
        <v>45541</v>
      </c>
      <c r="B418" s="16">
        <v>14.7438</v>
      </c>
      <c r="C418" s="16">
        <v>12.8178</v>
      </c>
      <c r="D418" s="16">
        <v>13.414899999999999</v>
      </c>
      <c r="E418" s="16">
        <v>26.453199999999999</v>
      </c>
      <c r="F418" s="16">
        <v>9.2959999999999994</v>
      </c>
      <c r="G418" s="29">
        <f t="shared" si="45"/>
        <v>15.518737739463592</v>
      </c>
      <c r="H418" s="17">
        <f t="shared" si="46"/>
        <v>18.188893048271389</v>
      </c>
      <c r="I418" s="17">
        <f t="shared" si="47"/>
        <v>12.848582430655794</v>
      </c>
      <c r="J418" s="17">
        <f t="shared" si="48"/>
        <v>20.859048357079189</v>
      </c>
      <c r="K418" s="17">
        <f t="shared" si="49"/>
        <v>10.178427121847996</v>
      </c>
      <c r="L418" s="17">
        <f t="shared" si="50"/>
        <v>-0.29022197207307587</v>
      </c>
      <c r="M418" s="11">
        <f t="shared" si="51"/>
        <v>0.15025979497261632</v>
      </c>
    </row>
    <row r="419" spans="1:13" x14ac:dyDescent="0.2">
      <c r="A419" s="6">
        <v>45548</v>
      </c>
      <c r="B419" s="16">
        <v>14.917199999999999</v>
      </c>
      <c r="C419" s="16">
        <v>12.9412</v>
      </c>
      <c r="D419" s="16">
        <v>13.5518</v>
      </c>
      <c r="E419" s="16">
        <v>26.988600000000002</v>
      </c>
      <c r="F419" s="16">
        <v>9.2514000000000003</v>
      </c>
      <c r="G419" s="29">
        <f t="shared" si="45"/>
        <v>15.518737739463592</v>
      </c>
      <c r="H419" s="17">
        <f t="shared" si="46"/>
        <v>18.188893048271389</v>
      </c>
      <c r="I419" s="17">
        <f t="shared" si="47"/>
        <v>12.848582430655794</v>
      </c>
      <c r="J419" s="17">
        <f t="shared" si="48"/>
        <v>20.859048357079189</v>
      </c>
      <c r="K419" s="17">
        <f t="shared" si="49"/>
        <v>10.178427121847996</v>
      </c>
      <c r="L419" s="17">
        <f t="shared" si="50"/>
        <v>-0.22528192928679289</v>
      </c>
      <c r="M419" s="11">
        <f t="shared" si="51"/>
        <v>0.15269063147157902</v>
      </c>
    </row>
    <row r="420" spans="1:13" x14ac:dyDescent="0.2">
      <c r="A420" s="6">
        <v>45555</v>
      </c>
      <c r="B420" s="16">
        <v>15.1454</v>
      </c>
      <c r="C420" s="16">
        <v>13.2387</v>
      </c>
      <c r="D420" s="16">
        <v>13.891</v>
      </c>
      <c r="E420" s="16">
        <v>27.3308</v>
      </c>
      <c r="F420" s="16">
        <v>9.6376000000000008</v>
      </c>
      <c r="G420" s="29">
        <f t="shared" si="45"/>
        <v>15.518737739463592</v>
      </c>
      <c r="H420" s="17">
        <f t="shared" si="46"/>
        <v>18.188893048271389</v>
      </c>
      <c r="I420" s="17">
        <f t="shared" si="47"/>
        <v>12.848582430655794</v>
      </c>
      <c r="J420" s="17">
        <f t="shared" si="48"/>
        <v>20.859048357079189</v>
      </c>
      <c r="K420" s="17">
        <f t="shared" si="49"/>
        <v>10.178427121847996</v>
      </c>
      <c r="L420" s="17">
        <f t="shared" si="50"/>
        <v>-0.13981873572375986</v>
      </c>
      <c r="M420" s="11">
        <f t="shared" si="51"/>
        <v>0.14402471541767703</v>
      </c>
    </row>
    <row r="421" spans="1:13" x14ac:dyDescent="0.2">
      <c r="A421" s="6">
        <v>45562</v>
      </c>
      <c r="B421" s="16">
        <v>14.9612</v>
      </c>
      <c r="C421" s="16">
        <v>13.989800000000001</v>
      </c>
      <c r="D421" s="16">
        <v>14.8125</v>
      </c>
      <c r="E421" s="16">
        <v>27.836300000000001</v>
      </c>
      <c r="F421" s="16">
        <v>11.2384</v>
      </c>
      <c r="G421" s="29">
        <f t="shared" si="45"/>
        <v>15.518737739463592</v>
      </c>
      <c r="H421" s="17">
        <f t="shared" si="46"/>
        <v>18.188893048271389</v>
      </c>
      <c r="I421" s="17">
        <f t="shared" si="47"/>
        <v>12.848582430655794</v>
      </c>
      <c r="J421" s="17">
        <f t="shared" si="48"/>
        <v>20.859048357079189</v>
      </c>
      <c r="K421" s="17">
        <f t="shared" si="49"/>
        <v>10.178427121847996</v>
      </c>
      <c r="L421" s="17">
        <f t="shared" si="50"/>
        <v>-0.20880348705728596</v>
      </c>
      <c r="M421" s="11">
        <f t="shared" si="51"/>
        <v>6.9436303592617321E-2</v>
      </c>
    </row>
    <row r="422" spans="1:13" x14ac:dyDescent="0.2">
      <c r="A422" s="6">
        <v>45569</v>
      </c>
      <c r="B422" s="16">
        <v>14.516</v>
      </c>
      <c r="C422" s="16">
        <v>14.1309</v>
      </c>
      <c r="D422" s="16">
        <v>15.114699999999999</v>
      </c>
      <c r="E422" s="16">
        <v>26.692900000000002</v>
      </c>
      <c r="F422" s="16">
        <v>12.523400000000001</v>
      </c>
      <c r="G422" s="29">
        <f t="shared" si="45"/>
        <v>15.518737739463592</v>
      </c>
      <c r="H422" s="17">
        <f t="shared" si="46"/>
        <v>18.188893048271389</v>
      </c>
      <c r="I422" s="17">
        <f t="shared" si="47"/>
        <v>12.848582430655794</v>
      </c>
      <c r="J422" s="17">
        <f t="shared" si="48"/>
        <v>20.859048357079189</v>
      </c>
      <c r="K422" s="17">
        <f t="shared" si="49"/>
        <v>10.178427121847996</v>
      </c>
      <c r="L422" s="17">
        <f t="shared" si="50"/>
        <v>-0.37553536161584034</v>
      </c>
      <c r="M422" s="11">
        <f t="shared" si="51"/>
        <v>2.7252333538557272E-2</v>
      </c>
    </row>
    <row r="423" spans="1:13" x14ac:dyDescent="0.2">
      <c r="A423" s="6">
        <v>45576</v>
      </c>
      <c r="B423" s="16">
        <v>14.481199999999999</v>
      </c>
      <c r="C423" s="16">
        <v>13.9922</v>
      </c>
      <c r="D423" s="16">
        <v>14.8804</v>
      </c>
      <c r="E423" s="16">
        <v>26.592400000000001</v>
      </c>
      <c r="F423" s="16">
        <v>11.697800000000001</v>
      </c>
      <c r="G423" s="29">
        <f t="shared" si="45"/>
        <v>15.518737739463592</v>
      </c>
      <c r="H423" s="17">
        <f t="shared" si="46"/>
        <v>18.188893048271389</v>
      </c>
      <c r="I423" s="17">
        <f t="shared" si="47"/>
        <v>12.848582430655794</v>
      </c>
      <c r="J423" s="17">
        <f t="shared" si="48"/>
        <v>20.859048357079189</v>
      </c>
      <c r="K423" s="17">
        <f t="shared" si="49"/>
        <v>10.178427121847996</v>
      </c>
      <c r="L423" s="17">
        <f t="shared" si="50"/>
        <v>-0.38856831137917769</v>
      </c>
      <c r="M423" s="11">
        <f t="shared" si="51"/>
        <v>3.4948042480810626E-2</v>
      </c>
    </row>
    <row r="424" spans="1:13" x14ac:dyDescent="0.2">
      <c r="A424" s="6">
        <v>45583</v>
      </c>
      <c r="B424" s="16">
        <v>14.9618</v>
      </c>
      <c r="C424" s="16">
        <v>13.9701</v>
      </c>
      <c r="D424" s="16">
        <v>14.8001</v>
      </c>
      <c r="E424" s="16">
        <v>26.678999999999998</v>
      </c>
      <c r="F424" s="16">
        <v>11.343999999999999</v>
      </c>
      <c r="G424" s="29">
        <f t="shared" si="45"/>
        <v>15.518737739463592</v>
      </c>
      <c r="H424" s="17">
        <f t="shared" si="46"/>
        <v>18.188893048271389</v>
      </c>
      <c r="I424" s="17">
        <f t="shared" si="47"/>
        <v>12.848582430655794</v>
      </c>
      <c r="J424" s="17">
        <f t="shared" si="48"/>
        <v>20.859048357079189</v>
      </c>
      <c r="K424" s="17">
        <f t="shared" si="49"/>
        <v>10.178427121847996</v>
      </c>
      <c r="L424" s="17">
        <f t="shared" si="50"/>
        <v>-0.20857878102688346</v>
      </c>
      <c r="M424" s="11">
        <f t="shared" si="51"/>
        <v>7.0987322925390561E-2</v>
      </c>
    </row>
    <row r="425" spans="1:13" x14ac:dyDescent="0.2">
      <c r="A425" s="6">
        <v>45590</v>
      </c>
      <c r="B425" s="16">
        <v>14.7646</v>
      </c>
      <c r="C425" s="16">
        <v>13.785299999999999</v>
      </c>
      <c r="D425" s="16">
        <v>14.578900000000001</v>
      </c>
      <c r="E425" s="16">
        <v>25.8626</v>
      </c>
      <c r="F425" s="16">
        <v>11.1967</v>
      </c>
      <c r="G425" s="29">
        <f t="shared" si="45"/>
        <v>15.518737739463592</v>
      </c>
      <c r="H425" s="17">
        <f t="shared" si="46"/>
        <v>18.188893048271389</v>
      </c>
      <c r="I425" s="17">
        <f t="shared" si="47"/>
        <v>12.848582430655794</v>
      </c>
      <c r="J425" s="17">
        <f t="shared" si="48"/>
        <v>20.859048357079189</v>
      </c>
      <c r="K425" s="17">
        <f t="shared" si="49"/>
        <v>10.178427121847996</v>
      </c>
      <c r="L425" s="17">
        <f t="shared" si="50"/>
        <v>-0.28243216301912744</v>
      </c>
      <c r="M425" s="11">
        <f t="shared" si="51"/>
        <v>7.1039440563498868E-2</v>
      </c>
    </row>
    <row r="426" spans="1:13" x14ac:dyDescent="0.2">
      <c r="A426" s="6">
        <v>45597</v>
      </c>
      <c r="B426" s="16">
        <v>14.2669</v>
      </c>
      <c r="C426" s="16">
        <v>13.6698</v>
      </c>
      <c r="D426" s="16">
        <v>14.4329</v>
      </c>
      <c r="E426" s="16">
        <v>26.120699999999999</v>
      </c>
      <c r="F426" s="16">
        <v>11.1107</v>
      </c>
      <c r="G426" s="29">
        <f t="shared" si="45"/>
        <v>15.518737739463592</v>
      </c>
      <c r="H426" s="17">
        <f t="shared" si="46"/>
        <v>18.188893048271389</v>
      </c>
      <c r="I426" s="17">
        <f t="shared" si="47"/>
        <v>12.848582430655794</v>
      </c>
      <c r="J426" s="17">
        <f t="shared" si="48"/>
        <v>20.859048357079189</v>
      </c>
      <c r="K426" s="17">
        <f t="shared" si="49"/>
        <v>10.178427121847996</v>
      </c>
      <c r="L426" s="17">
        <f t="shared" si="50"/>
        <v>-0.46882581523788874</v>
      </c>
      <c r="M426" s="11">
        <f t="shared" si="51"/>
        <v>4.3680229410818061E-2</v>
      </c>
    </row>
    <row r="427" spans="1:13" x14ac:dyDescent="0.2">
      <c r="A427" s="6">
        <v>45604</v>
      </c>
      <c r="B427" s="16">
        <v>13.7204</v>
      </c>
      <c r="C427" s="16">
        <v>13.861000000000001</v>
      </c>
      <c r="D427" s="16">
        <v>14.695399999999999</v>
      </c>
      <c r="E427" s="16">
        <v>26.0352</v>
      </c>
      <c r="F427" s="16">
        <v>11.2942</v>
      </c>
      <c r="G427" s="29">
        <f t="shared" si="45"/>
        <v>15.518737739463592</v>
      </c>
      <c r="H427" s="17">
        <f t="shared" si="46"/>
        <v>18.188893048271389</v>
      </c>
      <c r="I427" s="17">
        <f t="shared" si="47"/>
        <v>12.848582430655794</v>
      </c>
      <c r="J427" s="17">
        <f t="shared" si="48"/>
        <v>20.859048357079189</v>
      </c>
      <c r="K427" s="17">
        <f t="shared" si="49"/>
        <v>10.178427121847996</v>
      </c>
      <c r="L427" s="17">
        <f t="shared" si="50"/>
        <v>-0.67349555792937577</v>
      </c>
      <c r="M427" s="11">
        <f t="shared" si="51"/>
        <v>-1.0143568285116533E-2</v>
      </c>
    </row>
    <row r="428" spans="1:13" x14ac:dyDescent="0.2">
      <c r="A428" s="6">
        <v>45611</v>
      </c>
      <c r="B428" s="16">
        <v>13.526300000000001</v>
      </c>
      <c r="C428" s="16">
        <v>13.338800000000001</v>
      </c>
      <c r="D428" s="16">
        <v>14.0808</v>
      </c>
      <c r="E428" s="16">
        <v>25.283000000000001</v>
      </c>
      <c r="F428" s="16">
        <v>10.7302</v>
      </c>
      <c r="G428" s="29">
        <f t="shared" si="45"/>
        <v>15.518737739463592</v>
      </c>
      <c r="H428" s="17">
        <f t="shared" si="46"/>
        <v>18.188893048271389</v>
      </c>
      <c r="I428" s="17">
        <f t="shared" si="47"/>
        <v>12.848582430655794</v>
      </c>
      <c r="J428" s="17">
        <f t="shared" si="48"/>
        <v>20.859048357079189</v>
      </c>
      <c r="K428" s="17">
        <f t="shared" si="49"/>
        <v>10.178427121847996</v>
      </c>
      <c r="L428" s="17">
        <f t="shared" si="50"/>
        <v>-0.74618795876454025</v>
      </c>
      <c r="M428" s="11">
        <f t="shared" si="51"/>
        <v>1.4056736737937392E-2</v>
      </c>
    </row>
    <row r="429" spans="1:13" x14ac:dyDescent="0.2">
      <c r="A429" s="6">
        <v>45618</v>
      </c>
      <c r="B429" s="16">
        <v>13.4671</v>
      </c>
      <c r="C429" s="16">
        <v>13.391</v>
      </c>
      <c r="D429" s="16">
        <v>14.1289</v>
      </c>
      <c r="E429" s="16">
        <v>25.660499999999999</v>
      </c>
      <c r="F429" s="16">
        <v>10.563599999999999</v>
      </c>
      <c r="G429" s="29">
        <f t="shared" si="45"/>
        <v>15.518737739463592</v>
      </c>
      <c r="H429" s="17">
        <f t="shared" si="46"/>
        <v>18.188893048271389</v>
      </c>
      <c r="I429" s="17">
        <f t="shared" si="47"/>
        <v>12.848582430655794</v>
      </c>
      <c r="J429" s="17">
        <f t="shared" si="48"/>
        <v>20.859048357079189</v>
      </c>
      <c r="K429" s="17">
        <f t="shared" si="49"/>
        <v>10.178427121847996</v>
      </c>
      <c r="L429" s="17">
        <f t="shared" si="50"/>
        <v>-0.76835895376424035</v>
      </c>
      <c r="M429" s="11">
        <f t="shared" si="51"/>
        <v>5.6829213650959609E-3</v>
      </c>
    </row>
    <row r="430" spans="1:13" x14ac:dyDescent="0.2">
      <c r="A430" s="6">
        <v>45625</v>
      </c>
      <c r="B430" s="16">
        <v>13.206099999999999</v>
      </c>
      <c r="C430" s="16">
        <v>13.3177</v>
      </c>
      <c r="D430" s="16">
        <v>14.0784</v>
      </c>
      <c r="E430" s="16">
        <v>25.980699999999999</v>
      </c>
      <c r="F430" s="16">
        <v>10.634600000000001</v>
      </c>
      <c r="G430" s="29">
        <f t="shared" si="45"/>
        <v>15.518737739463592</v>
      </c>
      <c r="H430" s="17">
        <f t="shared" si="46"/>
        <v>18.188893048271389</v>
      </c>
      <c r="I430" s="17">
        <f t="shared" si="47"/>
        <v>12.848582430655794</v>
      </c>
      <c r="J430" s="17">
        <f t="shared" si="48"/>
        <v>20.859048357079189</v>
      </c>
      <c r="K430" s="17">
        <f t="shared" si="49"/>
        <v>10.178427121847996</v>
      </c>
      <c r="L430" s="17">
        <f t="shared" si="50"/>
        <v>-0.86610607698926934</v>
      </c>
      <c r="M430" s="11">
        <f t="shared" si="51"/>
        <v>-8.3798253452173066E-3</v>
      </c>
    </row>
    <row r="431" spans="1:13" x14ac:dyDescent="0.2">
      <c r="A431" s="6">
        <v>45632</v>
      </c>
      <c r="B431" s="16">
        <v>13.577500000000001</v>
      </c>
      <c r="C431" s="16">
        <v>13.7303</v>
      </c>
      <c r="D431" s="16">
        <v>14.4574</v>
      </c>
      <c r="E431" s="16">
        <v>26.693300000000001</v>
      </c>
      <c r="F431" s="16">
        <v>10.9343</v>
      </c>
      <c r="G431" s="29">
        <f t="shared" si="45"/>
        <v>15.518737739463592</v>
      </c>
      <c r="H431" s="17">
        <f t="shared" si="46"/>
        <v>18.188893048271389</v>
      </c>
      <c r="I431" s="17">
        <f t="shared" si="47"/>
        <v>12.848582430655794</v>
      </c>
      <c r="J431" s="17">
        <f t="shared" si="48"/>
        <v>20.859048357079189</v>
      </c>
      <c r="K431" s="17">
        <f t="shared" si="49"/>
        <v>10.178427121847996</v>
      </c>
      <c r="L431" s="17">
        <f t="shared" si="50"/>
        <v>-0.72701304417020518</v>
      </c>
      <c r="M431" s="11">
        <f t="shared" si="51"/>
        <v>-1.1128671624072273E-2</v>
      </c>
    </row>
    <row r="432" spans="1:13" x14ac:dyDescent="0.2">
      <c r="A432" s="6">
        <v>45639</v>
      </c>
      <c r="B432" s="16">
        <v>13.363200000000001</v>
      </c>
      <c r="C432" s="16">
        <v>13.798</v>
      </c>
      <c r="D432" s="16">
        <v>14.5176</v>
      </c>
      <c r="E432" s="16">
        <v>26.802399999999999</v>
      </c>
      <c r="F432" s="16">
        <v>10.9819</v>
      </c>
      <c r="G432" s="29">
        <f t="shared" si="45"/>
        <v>15.518737739463592</v>
      </c>
      <c r="H432" s="17">
        <f t="shared" si="46"/>
        <v>18.188893048271389</v>
      </c>
      <c r="I432" s="17">
        <f t="shared" si="47"/>
        <v>12.848582430655794</v>
      </c>
      <c r="J432" s="17">
        <f t="shared" si="48"/>
        <v>20.859048357079189</v>
      </c>
      <c r="K432" s="17">
        <f t="shared" si="49"/>
        <v>10.178427121847996</v>
      </c>
      <c r="L432" s="17">
        <f t="shared" si="50"/>
        <v>-0.80727054802891629</v>
      </c>
      <c r="M432" s="11">
        <f t="shared" si="51"/>
        <v>-3.1511813306276171E-2</v>
      </c>
    </row>
    <row r="433" spans="1:13" x14ac:dyDescent="0.2">
      <c r="A433" s="6">
        <v>45646</v>
      </c>
      <c r="B433" s="16">
        <v>12.6265</v>
      </c>
      <c r="C433" s="16">
        <v>13.4259</v>
      </c>
      <c r="D433" s="16">
        <v>14.110200000000001</v>
      </c>
      <c r="E433" s="16">
        <v>25.5627</v>
      </c>
      <c r="F433" s="16">
        <v>10.903600000000001</v>
      </c>
      <c r="G433" s="29">
        <f t="shared" si="45"/>
        <v>15.518737739463592</v>
      </c>
      <c r="H433" s="17">
        <f t="shared" si="46"/>
        <v>18.188893048271389</v>
      </c>
      <c r="I433" s="17">
        <f t="shared" si="47"/>
        <v>12.848582430655794</v>
      </c>
      <c r="J433" s="17">
        <f t="shared" si="48"/>
        <v>20.859048357079189</v>
      </c>
      <c r="K433" s="17">
        <f t="shared" si="49"/>
        <v>10.178427121847996</v>
      </c>
      <c r="L433" s="17">
        <f t="shared" si="50"/>
        <v>-1.083172102357953</v>
      </c>
      <c r="M433" s="11">
        <f t="shared" si="51"/>
        <v>-5.9541632218324314E-2</v>
      </c>
    </row>
    <row r="434" spans="1:13" x14ac:dyDescent="0.2">
      <c r="A434" s="6">
        <v>45653</v>
      </c>
      <c r="B434" s="16">
        <v>12.811199999999999</v>
      </c>
      <c r="C434" s="16">
        <v>13.5954</v>
      </c>
      <c r="D434" s="16">
        <v>14.3605</v>
      </c>
      <c r="E434" s="16">
        <v>25.719799999999999</v>
      </c>
      <c r="F434" s="16">
        <v>11.035600000000001</v>
      </c>
      <c r="G434" s="29">
        <f t="shared" si="45"/>
        <v>15.518737739463592</v>
      </c>
      <c r="H434" s="17">
        <f t="shared" si="46"/>
        <v>18.188893048271389</v>
      </c>
      <c r="I434" s="17">
        <f t="shared" si="47"/>
        <v>12.848582430655794</v>
      </c>
      <c r="J434" s="17">
        <f t="shared" si="48"/>
        <v>20.859048357079189</v>
      </c>
      <c r="K434" s="17">
        <f t="shared" si="49"/>
        <v>10.178427121847996</v>
      </c>
      <c r="L434" s="17">
        <f t="shared" si="50"/>
        <v>-1.014000095999092</v>
      </c>
      <c r="M434" s="11">
        <f t="shared" si="51"/>
        <v>-5.7681274548744499E-2</v>
      </c>
    </row>
    <row r="435" spans="1:13" x14ac:dyDescent="0.2">
      <c r="A435" s="6">
        <v>45660</v>
      </c>
      <c r="B435" s="16">
        <v>12.9611</v>
      </c>
      <c r="C435" s="16">
        <v>13.523</v>
      </c>
      <c r="D435" s="16">
        <v>14.2567</v>
      </c>
      <c r="E435" s="16">
        <v>25.9421</v>
      </c>
      <c r="F435" s="16">
        <v>10.763500000000001</v>
      </c>
      <c r="G435" s="29">
        <f t="shared" si="45"/>
        <v>15.518737739463592</v>
      </c>
      <c r="H435" s="17">
        <f t="shared" si="46"/>
        <v>18.188893048271389</v>
      </c>
      <c r="I435" s="17">
        <f t="shared" si="47"/>
        <v>12.848582430655794</v>
      </c>
      <c r="J435" s="17">
        <f t="shared" si="48"/>
        <v>20.859048357079189</v>
      </c>
      <c r="K435" s="17">
        <f t="shared" si="49"/>
        <v>10.178427121847996</v>
      </c>
      <c r="L435" s="17">
        <f t="shared" si="50"/>
        <v>-0.95786103940356782</v>
      </c>
      <c r="M435" s="11">
        <f t="shared" si="51"/>
        <v>-4.1551430895511277E-2</v>
      </c>
    </row>
    <row r="436" spans="1:13" x14ac:dyDescent="0.2">
      <c r="A436" s="6">
        <v>45667</v>
      </c>
      <c r="B436" s="16">
        <v>12.661899999999999</v>
      </c>
      <c r="C436" s="16">
        <v>13.204499999999999</v>
      </c>
      <c r="D436" s="16">
        <v>13.7966</v>
      </c>
      <c r="E436" s="16">
        <v>24.886099999999999</v>
      </c>
      <c r="F436" s="16">
        <v>10.321999999999999</v>
      </c>
      <c r="G436" s="29">
        <f t="shared" si="45"/>
        <v>15.518737739463592</v>
      </c>
      <c r="H436" s="17">
        <f t="shared" si="46"/>
        <v>18.188893048271389</v>
      </c>
      <c r="I436" s="17">
        <f t="shared" si="47"/>
        <v>12.848582430655794</v>
      </c>
      <c r="J436" s="17">
        <f t="shared" si="48"/>
        <v>20.859048357079189</v>
      </c>
      <c r="K436" s="17">
        <f t="shared" si="49"/>
        <v>10.178427121847996</v>
      </c>
      <c r="L436" s="17">
        <f t="shared" si="50"/>
        <v>-1.0699144465642139</v>
      </c>
      <c r="M436" s="11">
        <f t="shared" si="51"/>
        <v>-4.1092051951986064E-2</v>
      </c>
    </row>
    <row r="437" spans="1:13" x14ac:dyDescent="0.2">
      <c r="A437" s="6">
        <v>45674</v>
      </c>
      <c r="B437" s="16">
        <v>12.902200000000001</v>
      </c>
      <c r="C437" s="16">
        <v>13.397600000000001</v>
      </c>
      <c r="D437" s="16">
        <v>13.9374</v>
      </c>
      <c r="E437" s="16">
        <v>24.754100000000001</v>
      </c>
      <c r="F437" s="16">
        <v>10.6396</v>
      </c>
      <c r="G437" s="29">
        <f t="shared" si="45"/>
        <v>15.518737739463592</v>
      </c>
      <c r="H437" s="17">
        <f t="shared" si="46"/>
        <v>18.188893048271389</v>
      </c>
      <c r="I437" s="17">
        <f t="shared" si="47"/>
        <v>12.848582430655794</v>
      </c>
      <c r="J437" s="17">
        <f t="shared" si="48"/>
        <v>20.859048357079189</v>
      </c>
      <c r="K437" s="17">
        <f t="shared" si="49"/>
        <v>10.178427121847996</v>
      </c>
      <c r="L437" s="17">
        <f t="shared" si="50"/>
        <v>-0.9799196813880664</v>
      </c>
      <c r="M437" s="11">
        <f t="shared" si="51"/>
        <v>-3.6976771959156829E-2</v>
      </c>
    </row>
    <row r="438" spans="1:13" x14ac:dyDescent="0.2">
      <c r="A438" s="6">
        <v>45681</v>
      </c>
      <c r="B438" s="16">
        <v>12.8223</v>
      </c>
      <c r="C438" s="16">
        <v>13.6762</v>
      </c>
      <c r="D438" s="16">
        <v>14.204700000000001</v>
      </c>
      <c r="E438" s="16">
        <v>24.5533</v>
      </c>
      <c r="F438" s="16">
        <v>10.977499999999999</v>
      </c>
      <c r="G438" s="29">
        <f t="shared" si="45"/>
        <v>15.518737739463592</v>
      </c>
      <c r="H438" s="17">
        <f t="shared" si="46"/>
        <v>18.188893048271389</v>
      </c>
      <c r="I438" s="17">
        <f t="shared" si="47"/>
        <v>12.848582430655794</v>
      </c>
      <c r="J438" s="17">
        <f t="shared" si="48"/>
        <v>20.859048357079189</v>
      </c>
      <c r="K438" s="17">
        <f t="shared" si="49"/>
        <v>10.178427121847996</v>
      </c>
      <c r="L438" s="17">
        <f t="shared" si="50"/>
        <v>-1.009843034436648</v>
      </c>
      <c r="M438" s="11">
        <f t="shared" si="51"/>
        <v>-6.243693423611818E-2</v>
      </c>
    </row>
    <row r="439" spans="1:13" x14ac:dyDescent="0.2">
      <c r="A439" s="6">
        <v>45688</v>
      </c>
      <c r="B439" s="16">
        <v>12.8291</v>
      </c>
      <c r="C439" s="16">
        <v>13.724399999999999</v>
      </c>
      <c r="D439" s="16">
        <v>14.2127</v>
      </c>
      <c r="E439" s="16">
        <v>24.640599999999999</v>
      </c>
      <c r="F439" s="16">
        <v>11.119</v>
      </c>
      <c r="G439" s="29">
        <f t="shared" si="45"/>
        <v>15.518737739463592</v>
      </c>
      <c r="H439" s="17">
        <f t="shared" si="46"/>
        <v>18.188893048271389</v>
      </c>
      <c r="I439" s="17">
        <f t="shared" si="47"/>
        <v>12.848582430655794</v>
      </c>
      <c r="J439" s="17">
        <f t="shared" si="48"/>
        <v>20.859048357079189</v>
      </c>
      <c r="K439" s="17">
        <f t="shared" si="49"/>
        <v>10.178427121847996</v>
      </c>
      <c r="L439" s="17">
        <f t="shared" si="50"/>
        <v>-1.0072963660920879</v>
      </c>
      <c r="M439" s="11">
        <f t="shared" si="51"/>
        <v>-6.5234181457841434E-2</v>
      </c>
    </row>
    <row r="440" spans="1:13" x14ac:dyDescent="0.2">
      <c r="A440" s="6">
        <v>45695</v>
      </c>
      <c r="B440" s="16">
        <v>12.2903</v>
      </c>
      <c r="C440" s="16">
        <v>13.983499999999999</v>
      </c>
      <c r="D440" s="16">
        <v>14.472799999999999</v>
      </c>
      <c r="E440" s="16">
        <v>21.883299999999998</v>
      </c>
      <c r="F440" s="16">
        <v>11.6685</v>
      </c>
      <c r="G440" s="29">
        <f t="shared" si="45"/>
        <v>15.518737739463592</v>
      </c>
      <c r="H440" s="17">
        <f t="shared" si="46"/>
        <v>18.188893048271389</v>
      </c>
      <c r="I440" s="17">
        <f t="shared" si="47"/>
        <v>12.848582430655794</v>
      </c>
      <c r="J440" s="17">
        <f t="shared" si="48"/>
        <v>20.859048357079189</v>
      </c>
      <c r="K440" s="17">
        <f t="shared" si="49"/>
        <v>10.178427121847996</v>
      </c>
      <c r="L440" s="17">
        <f t="shared" si="50"/>
        <v>-1.2090823813934113</v>
      </c>
      <c r="M440" s="11">
        <f t="shared" si="51"/>
        <v>-0.12108556513033208</v>
      </c>
    </row>
    <row r="441" spans="1:13" x14ac:dyDescent="0.2">
      <c r="A441" s="6">
        <v>45702</v>
      </c>
      <c r="B441" s="16">
        <v>12.1099</v>
      </c>
      <c r="C441" s="16">
        <v>14.173</v>
      </c>
      <c r="D441" s="16">
        <v>14.705299999999999</v>
      </c>
      <c r="E441" s="16">
        <v>21.203900000000001</v>
      </c>
      <c r="F441" s="16">
        <v>12.5204</v>
      </c>
      <c r="G441" s="29">
        <f t="shared" si="45"/>
        <v>15.518737739463592</v>
      </c>
      <c r="H441" s="17">
        <f t="shared" si="46"/>
        <v>18.188893048271389</v>
      </c>
      <c r="I441" s="17">
        <f t="shared" si="47"/>
        <v>12.848582430655794</v>
      </c>
      <c r="J441" s="17">
        <f t="shared" si="48"/>
        <v>20.859048357079189</v>
      </c>
      <c r="K441" s="17">
        <f t="shared" si="49"/>
        <v>10.178427121847996</v>
      </c>
      <c r="L441" s="17">
        <f t="shared" si="50"/>
        <v>-1.276643994534389</v>
      </c>
      <c r="M441" s="11">
        <f t="shared" si="51"/>
        <v>-0.14556551188880273</v>
      </c>
    </row>
    <row r="442" spans="1:13" x14ac:dyDescent="0.2">
      <c r="A442" s="6">
        <v>45709</v>
      </c>
      <c r="B442" s="16">
        <v>12.189399999999999</v>
      </c>
      <c r="C442" s="16">
        <v>14.6698</v>
      </c>
      <c r="D442" s="16">
        <v>15.238099999999999</v>
      </c>
      <c r="E442" s="16">
        <v>21.361499999999999</v>
      </c>
      <c r="F442" s="16">
        <v>13.1645</v>
      </c>
      <c r="G442" s="29">
        <f t="shared" si="45"/>
        <v>15.518737739463592</v>
      </c>
      <c r="H442" s="17">
        <f t="shared" si="46"/>
        <v>18.188893048271389</v>
      </c>
      <c r="I442" s="17">
        <f t="shared" si="47"/>
        <v>12.848582430655794</v>
      </c>
      <c r="J442" s="17">
        <f t="shared" si="48"/>
        <v>20.859048357079189</v>
      </c>
      <c r="K442" s="17">
        <f t="shared" si="49"/>
        <v>10.178427121847996</v>
      </c>
      <c r="L442" s="17">
        <f t="shared" si="50"/>
        <v>-1.246870445506076</v>
      </c>
      <c r="M442" s="11">
        <f t="shared" si="51"/>
        <v>-0.16908205974178248</v>
      </c>
    </row>
    <row r="443" spans="1:13" x14ac:dyDescent="0.2">
      <c r="A443" s="6">
        <v>45716</v>
      </c>
      <c r="B443" s="16">
        <v>10.9689</v>
      </c>
      <c r="C443" s="16">
        <v>14.194699999999999</v>
      </c>
      <c r="D443" s="16">
        <v>14.6328</v>
      </c>
      <c r="E443" s="16">
        <v>20.643000000000001</v>
      </c>
      <c r="F443" s="16">
        <v>12.636900000000001</v>
      </c>
      <c r="G443" s="29">
        <f t="shared" si="45"/>
        <v>15.518737739463592</v>
      </c>
      <c r="H443" s="17">
        <f t="shared" si="46"/>
        <v>18.188893048271389</v>
      </c>
      <c r="I443" s="17">
        <f t="shared" si="47"/>
        <v>12.848582430655794</v>
      </c>
      <c r="J443" s="17">
        <f t="shared" si="48"/>
        <v>20.859048357079189</v>
      </c>
      <c r="K443" s="17">
        <f t="shared" si="49"/>
        <v>10.178427121847996</v>
      </c>
      <c r="L443" s="17">
        <f t="shared" si="50"/>
        <v>-1.703959962349552</v>
      </c>
      <c r="M443" s="11">
        <f t="shared" si="51"/>
        <v>-0.22725383417754508</v>
      </c>
    </row>
    <row r="444" spans="1:13" x14ac:dyDescent="0.2">
      <c r="A444" s="6">
        <v>45723</v>
      </c>
      <c r="B444" s="16">
        <v>12.2629</v>
      </c>
      <c r="C444" s="16">
        <v>14.7074</v>
      </c>
      <c r="D444" s="16">
        <v>15.162699999999999</v>
      </c>
      <c r="E444" s="16">
        <v>21.136500000000002</v>
      </c>
      <c r="F444" s="16">
        <v>13.4689</v>
      </c>
      <c r="G444" s="29">
        <f t="shared" si="45"/>
        <v>15.518737739463592</v>
      </c>
      <c r="H444" s="17">
        <f t="shared" si="46"/>
        <v>18.188893048271389</v>
      </c>
      <c r="I444" s="17">
        <f t="shared" si="47"/>
        <v>12.848582430655794</v>
      </c>
      <c r="J444" s="17">
        <f t="shared" si="48"/>
        <v>20.859048357079189</v>
      </c>
      <c r="K444" s="17">
        <f t="shared" si="49"/>
        <v>10.178427121847996</v>
      </c>
      <c r="L444" s="17">
        <f t="shared" si="50"/>
        <v>-1.2193439567817859</v>
      </c>
      <c r="M444" s="11">
        <f t="shared" si="51"/>
        <v>-0.16620884724696405</v>
      </c>
    </row>
    <row r="445" spans="1:13" x14ac:dyDescent="0.2">
      <c r="A445" s="6">
        <v>45730</v>
      </c>
      <c r="B445" s="16">
        <v>11.867699999999999</v>
      </c>
      <c r="C445" s="16">
        <v>14.835699999999999</v>
      </c>
      <c r="D445" s="16">
        <v>15.2409</v>
      </c>
      <c r="E445" s="16">
        <v>20.907499999999999</v>
      </c>
      <c r="F445" s="16">
        <v>13.4526</v>
      </c>
      <c r="G445" s="29">
        <f t="shared" si="45"/>
        <v>15.518737739463592</v>
      </c>
      <c r="H445" s="17">
        <f t="shared" si="46"/>
        <v>18.188893048271389</v>
      </c>
      <c r="I445" s="17">
        <f t="shared" si="47"/>
        <v>12.848582430655794</v>
      </c>
      <c r="J445" s="17">
        <f t="shared" si="48"/>
        <v>20.859048357079189</v>
      </c>
      <c r="K445" s="17">
        <f t="shared" si="49"/>
        <v>10.178427121847996</v>
      </c>
      <c r="L445" s="17">
        <f t="shared" si="50"/>
        <v>-1.3673503288068103</v>
      </c>
      <c r="M445" s="11">
        <f t="shared" si="51"/>
        <v>-0.2000579682792184</v>
      </c>
    </row>
    <row r="446" spans="1:13" x14ac:dyDescent="0.2">
      <c r="A446" s="6">
        <v>45737</v>
      </c>
      <c r="B446" s="16">
        <v>10.7202</v>
      </c>
      <c r="C446" s="16">
        <v>12.6685</v>
      </c>
      <c r="D446" s="16">
        <v>13.4796</v>
      </c>
      <c r="E446" s="16">
        <v>22.006799999999998</v>
      </c>
      <c r="F446" s="16">
        <v>13.765499999999999</v>
      </c>
      <c r="G446" s="29">
        <f t="shared" si="45"/>
        <v>15.518737739463592</v>
      </c>
      <c r="H446" s="17">
        <f t="shared" si="46"/>
        <v>18.188893048271389</v>
      </c>
      <c r="I446" s="17">
        <f t="shared" si="47"/>
        <v>12.848582430655794</v>
      </c>
      <c r="J446" s="17">
        <f t="shared" si="48"/>
        <v>20.859048357079189</v>
      </c>
      <c r="K446" s="17">
        <f t="shared" si="49"/>
        <v>10.178427121847996</v>
      </c>
      <c r="L446" s="17">
        <f t="shared" si="50"/>
        <v>-1.797100611951332</v>
      </c>
      <c r="M446" s="11">
        <f t="shared" si="51"/>
        <v>-0.15379089868571649</v>
      </c>
    </row>
    <row r="447" spans="1:13" x14ac:dyDescent="0.2">
      <c r="A447" s="6">
        <v>45744</v>
      </c>
      <c r="B447" s="16">
        <v>11.4855</v>
      </c>
      <c r="C447" s="16">
        <v>12.5779</v>
      </c>
      <c r="D447" s="16">
        <v>13.36</v>
      </c>
      <c r="E447" s="16">
        <v>22.0807</v>
      </c>
      <c r="F447" s="16">
        <v>11.6349</v>
      </c>
      <c r="G447" s="29">
        <f t="shared" si="45"/>
        <v>15.518737739463592</v>
      </c>
      <c r="H447" s="17">
        <f t="shared" si="46"/>
        <v>18.188893048271389</v>
      </c>
      <c r="I447" s="17">
        <f t="shared" si="47"/>
        <v>12.848582430655794</v>
      </c>
      <c r="J447" s="17">
        <f t="shared" si="48"/>
        <v>20.859048357079189</v>
      </c>
      <c r="K447" s="17">
        <f t="shared" si="49"/>
        <v>10.178427121847996</v>
      </c>
      <c r="L447" s="17">
        <f t="shared" si="50"/>
        <v>-1.5104880701731163</v>
      </c>
      <c r="M447" s="11">
        <f t="shared" si="51"/>
        <v>-8.6850746149993219E-2</v>
      </c>
    </row>
    <row r="448" spans="1:13" x14ac:dyDescent="0.2">
      <c r="A448" s="6">
        <v>45751</v>
      </c>
      <c r="B448" s="16">
        <v>11.488300000000001</v>
      </c>
      <c r="C448" s="16">
        <v>12.2133</v>
      </c>
      <c r="D448" s="16">
        <v>13.0341</v>
      </c>
      <c r="E448" s="16">
        <v>21.581399999999999</v>
      </c>
      <c r="F448" s="16">
        <v>11.3203</v>
      </c>
      <c r="G448" s="29">
        <f t="shared" si="45"/>
        <v>15.518737739463592</v>
      </c>
      <c r="H448" s="17">
        <f t="shared" si="46"/>
        <v>18.188893048271389</v>
      </c>
      <c r="I448" s="17">
        <f t="shared" si="47"/>
        <v>12.848582430655794</v>
      </c>
      <c r="J448" s="17">
        <f t="shared" si="48"/>
        <v>20.859048357079189</v>
      </c>
      <c r="K448" s="17">
        <f t="shared" si="49"/>
        <v>10.178427121847996</v>
      </c>
      <c r="L448" s="17">
        <f t="shared" si="50"/>
        <v>-1.5094394420312383</v>
      </c>
      <c r="M448" s="11">
        <f t="shared" si="51"/>
        <v>-5.9361515724660752E-2</v>
      </c>
    </row>
    <row r="449" spans="1:13" x14ac:dyDescent="0.2">
      <c r="A449" s="6">
        <v>45758</v>
      </c>
      <c r="B449" s="16">
        <v>11.0746</v>
      </c>
      <c r="C449" s="16">
        <v>11.788</v>
      </c>
      <c r="D449" s="16">
        <v>12.379200000000001</v>
      </c>
      <c r="E449" s="16">
        <v>21.661899999999999</v>
      </c>
      <c r="F449" s="16">
        <v>10.5099</v>
      </c>
      <c r="G449" s="29">
        <f t="shared" si="45"/>
        <v>15.518737739463592</v>
      </c>
      <c r="H449" s="17">
        <f t="shared" si="46"/>
        <v>18.188893048271389</v>
      </c>
      <c r="I449" s="17">
        <f t="shared" si="47"/>
        <v>12.848582430655794</v>
      </c>
      <c r="J449" s="17">
        <f t="shared" si="48"/>
        <v>20.859048357079189</v>
      </c>
      <c r="K449" s="17">
        <f t="shared" si="49"/>
        <v>10.178427121847996</v>
      </c>
      <c r="L449" s="17">
        <f t="shared" si="50"/>
        <v>-1.6643742499936687</v>
      </c>
      <c r="M449" s="11">
        <f t="shared" si="51"/>
        <v>-6.0519172039362079E-2</v>
      </c>
    </row>
    <row r="450" spans="1:13" x14ac:dyDescent="0.2">
      <c r="A450" s="6">
        <v>45765</v>
      </c>
      <c r="B450" s="16">
        <v>11.3758</v>
      </c>
      <c r="C450" s="16">
        <v>12.022</v>
      </c>
      <c r="D450" s="16">
        <v>12.6462</v>
      </c>
      <c r="E450" s="16">
        <v>22.678599999999999</v>
      </c>
      <c r="F450" s="16">
        <v>10.6761</v>
      </c>
      <c r="G450" s="29">
        <f t="shared" si="45"/>
        <v>15.518737739463592</v>
      </c>
      <c r="H450" s="17">
        <f t="shared" si="46"/>
        <v>18.188893048271389</v>
      </c>
      <c r="I450" s="17">
        <f t="shared" si="47"/>
        <v>12.848582430655794</v>
      </c>
      <c r="J450" s="17">
        <f t="shared" si="48"/>
        <v>20.859048357079189</v>
      </c>
      <c r="K450" s="17">
        <f t="shared" si="49"/>
        <v>10.178427121847996</v>
      </c>
      <c r="L450" s="17">
        <f t="shared" si="50"/>
        <v>-1.5515718227316819</v>
      </c>
      <c r="M450" s="11">
        <f t="shared" si="51"/>
        <v>-5.3751455664614922E-2</v>
      </c>
    </row>
    <row r="451" spans="1:13" x14ac:dyDescent="0.2">
      <c r="A451" s="6">
        <v>45772</v>
      </c>
      <c r="B451" s="16">
        <v>11.7606</v>
      </c>
      <c r="C451" s="16">
        <v>12.3314</v>
      </c>
      <c r="D451" s="16">
        <v>12.935</v>
      </c>
      <c r="E451" s="16">
        <v>22.894400000000001</v>
      </c>
      <c r="F451" s="16">
        <v>11.0489</v>
      </c>
      <c r="G451" s="29">
        <f t="shared" si="45"/>
        <v>15.518737739463592</v>
      </c>
      <c r="H451" s="17">
        <f t="shared" si="46"/>
        <v>18.188893048271389</v>
      </c>
      <c r="I451" s="17">
        <f t="shared" si="47"/>
        <v>12.848582430655794</v>
      </c>
      <c r="J451" s="17">
        <f t="shared" si="48"/>
        <v>20.859048357079189</v>
      </c>
      <c r="K451" s="17">
        <f t="shared" si="49"/>
        <v>10.178427121847996</v>
      </c>
      <c r="L451" s="17">
        <f t="shared" si="50"/>
        <v>-1.407460355233632</v>
      </c>
      <c r="M451" s="11">
        <f t="shared" si="51"/>
        <v>-4.6288337090679144E-2</v>
      </c>
    </row>
    <row r="452" spans="1:13" x14ac:dyDescent="0.2">
      <c r="A452" s="6">
        <v>45779</v>
      </c>
      <c r="B452" s="16">
        <v>12.096399999999999</v>
      </c>
      <c r="C452" s="16">
        <v>12.696400000000001</v>
      </c>
      <c r="D452" s="16">
        <v>13.3727</v>
      </c>
      <c r="E452" s="16">
        <v>23.2439</v>
      </c>
      <c r="F452" s="16">
        <v>11.332800000000001</v>
      </c>
      <c r="G452" s="29">
        <f t="shared" si="45"/>
        <v>15.518737739463592</v>
      </c>
      <c r="H452" s="17">
        <f t="shared" si="46"/>
        <v>18.188893048271389</v>
      </c>
      <c r="I452" s="17">
        <f t="shared" si="47"/>
        <v>12.848582430655794</v>
      </c>
      <c r="J452" s="17">
        <f t="shared" si="48"/>
        <v>20.859048357079189</v>
      </c>
      <c r="K452" s="17">
        <f t="shared" si="49"/>
        <v>10.178427121847996</v>
      </c>
      <c r="L452" s="17">
        <f t="shared" si="50"/>
        <v>-1.2816998802184425</v>
      </c>
      <c r="M452" s="11">
        <f t="shared" si="51"/>
        <v>-4.7257490312214601E-2</v>
      </c>
    </row>
    <row r="453" spans="1:13" x14ac:dyDescent="0.2">
      <c r="A453" s="6">
        <v>45786</v>
      </c>
      <c r="B453" s="16">
        <v>12.117000000000001</v>
      </c>
      <c r="C453" s="16">
        <v>12.655900000000001</v>
      </c>
      <c r="D453" s="16">
        <v>13.346</v>
      </c>
      <c r="E453" s="16">
        <v>23.11</v>
      </c>
      <c r="F453" s="16">
        <v>11.366199999999999</v>
      </c>
      <c r="G453" s="29">
        <f t="shared" si="45"/>
        <v>15.518737739463592</v>
      </c>
      <c r="H453" s="17">
        <f t="shared" si="46"/>
        <v>18.188893048271389</v>
      </c>
      <c r="I453" s="17">
        <f t="shared" si="47"/>
        <v>12.848582430655794</v>
      </c>
      <c r="J453" s="17">
        <f t="shared" si="48"/>
        <v>20.859048357079189</v>
      </c>
      <c r="K453" s="17">
        <f t="shared" si="49"/>
        <v>10.178427121847996</v>
      </c>
      <c r="L453" s="17">
        <f t="shared" si="50"/>
        <v>-1.2739849731746273</v>
      </c>
      <c r="M453" s="11">
        <f t="shared" si="51"/>
        <v>-4.2580930633143388E-2</v>
      </c>
    </row>
    <row r="454" spans="1:13" x14ac:dyDescent="0.2">
      <c r="A454" s="6">
        <v>45793</v>
      </c>
      <c r="B454" s="16">
        <v>12.816800000000001</v>
      </c>
      <c r="C454" s="16">
        <v>13.0542</v>
      </c>
      <c r="D454" s="16">
        <v>13.830500000000001</v>
      </c>
      <c r="E454" s="16">
        <v>24.178899999999999</v>
      </c>
      <c r="F454" s="16">
        <v>11.674799999999999</v>
      </c>
      <c r="G454" s="29">
        <f t="shared" ref="G454:G517" si="52">$R$6</f>
        <v>15.518737739463592</v>
      </c>
      <c r="H454" s="17">
        <f t="shared" ref="H454:H517" si="53">$R$6+$R$7</f>
        <v>18.188893048271389</v>
      </c>
      <c r="I454" s="17">
        <f t="shared" ref="I454:I517" si="54">$R$6-$R$7</f>
        <v>12.848582430655794</v>
      </c>
      <c r="J454" s="17">
        <f t="shared" ref="J454:J517" si="55">$R$6+2*$R$7</f>
        <v>20.859048357079189</v>
      </c>
      <c r="K454" s="17">
        <f t="shared" ref="K454:K517" si="56">$R$6-2*$R$7</f>
        <v>10.178427121847996</v>
      </c>
      <c r="L454" s="17">
        <f t="shared" ref="L454:L517" si="57">(B454-$R$6)/$R$7</f>
        <v>-1.0119028397153362</v>
      </c>
      <c r="M454" s="11">
        <f t="shared" ref="M454:M517" si="58">IF(AND(ISNUMBER(B454),ISNUMBER(C454)),B454/C454-1,"")</f>
        <v>-1.818571800646529E-2</v>
      </c>
    </row>
    <row r="455" spans="1:13" x14ac:dyDescent="0.2">
      <c r="A455" s="6">
        <v>45800</v>
      </c>
      <c r="B455" s="16">
        <v>13.0566</v>
      </c>
      <c r="C455" s="16">
        <v>13.0014</v>
      </c>
      <c r="D455" s="16">
        <v>13.789199999999999</v>
      </c>
      <c r="E455" s="16">
        <v>24.231100000000001</v>
      </c>
      <c r="F455" s="16">
        <v>11.717599999999999</v>
      </c>
      <c r="G455" s="29">
        <f t="shared" si="52"/>
        <v>15.518737739463592</v>
      </c>
      <c r="H455" s="17">
        <f t="shared" si="53"/>
        <v>18.188893048271389</v>
      </c>
      <c r="I455" s="17">
        <f t="shared" si="54"/>
        <v>12.848582430655794</v>
      </c>
      <c r="J455" s="17">
        <f t="shared" si="55"/>
        <v>20.859048357079189</v>
      </c>
      <c r="K455" s="17">
        <f t="shared" si="56"/>
        <v>10.178427121847996</v>
      </c>
      <c r="L455" s="17">
        <f t="shared" si="57"/>
        <v>-0.922095329564525</v>
      </c>
      <c r="M455" s="11">
        <f t="shared" si="58"/>
        <v>4.2456966172872423E-3</v>
      </c>
    </row>
    <row r="456" spans="1:13" x14ac:dyDescent="0.2">
      <c r="A456" s="6">
        <v>45807</v>
      </c>
      <c r="B456" s="16">
        <v>12.987299999999999</v>
      </c>
      <c r="C456" s="16">
        <v>12.889200000000001</v>
      </c>
      <c r="D456" s="16">
        <v>13.686500000000001</v>
      </c>
      <c r="E456" s="16">
        <v>24.169499999999999</v>
      </c>
      <c r="F456" s="16">
        <v>11.543900000000001</v>
      </c>
      <c r="G456" s="29">
        <f t="shared" si="52"/>
        <v>15.518737739463592</v>
      </c>
      <c r="H456" s="17">
        <f t="shared" si="53"/>
        <v>18.188893048271389</v>
      </c>
      <c r="I456" s="17">
        <f t="shared" si="54"/>
        <v>12.848582430655794</v>
      </c>
      <c r="J456" s="17">
        <f t="shared" si="55"/>
        <v>20.859048357079189</v>
      </c>
      <c r="K456" s="17">
        <f t="shared" si="56"/>
        <v>10.178427121847996</v>
      </c>
      <c r="L456" s="17">
        <f t="shared" si="57"/>
        <v>-0.94804887607599819</v>
      </c>
      <c r="M456" s="11">
        <f t="shared" si="58"/>
        <v>7.6110231821988616E-3</v>
      </c>
    </row>
    <row r="457" spans="1:13" x14ac:dyDescent="0.2">
      <c r="A457" s="6">
        <v>45814</v>
      </c>
      <c r="B457" s="16">
        <v>12.819599999999999</v>
      </c>
      <c r="C457" s="16">
        <v>13.1875</v>
      </c>
      <c r="D457" s="16">
        <v>14.039099999999999</v>
      </c>
      <c r="E457" s="16">
        <v>24.445900000000002</v>
      </c>
      <c r="F457" s="16">
        <v>11.919700000000001</v>
      </c>
      <c r="G457" s="29">
        <f t="shared" si="52"/>
        <v>15.518737739463592</v>
      </c>
      <c r="H457" s="17">
        <f t="shared" si="53"/>
        <v>18.188893048271389</v>
      </c>
      <c r="I457" s="17">
        <f t="shared" si="54"/>
        <v>12.848582430655794</v>
      </c>
      <c r="J457" s="17">
        <f t="shared" si="55"/>
        <v>20.859048357079189</v>
      </c>
      <c r="K457" s="17">
        <f t="shared" si="56"/>
        <v>10.178427121847996</v>
      </c>
      <c r="L457" s="17">
        <f t="shared" si="57"/>
        <v>-1.0108542115734591</v>
      </c>
      <c r="M457" s="11">
        <f t="shared" si="58"/>
        <v>-2.7897630331753631E-2</v>
      </c>
    </row>
    <row r="458" spans="1:13" x14ac:dyDescent="0.2">
      <c r="A458" s="6">
        <v>45821</v>
      </c>
      <c r="B458" s="16">
        <v>12.845499999999999</v>
      </c>
      <c r="C458" s="16">
        <v>13.197900000000001</v>
      </c>
      <c r="D458" s="16">
        <v>14.0718</v>
      </c>
      <c r="E458" s="16">
        <v>24.235700000000001</v>
      </c>
      <c r="F458" s="16">
        <v>11.8302</v>
      </c>
      <c r="G458" s="29">
        <f t="shared" si="52"/>
        <v>15.518737739463592</v>
      </c>
      <c r="H458" s="17">
        <f t="shared" si="53"/>
        <v>18.188893048271389</v>
      </c>
      <c r="I458" s="17">
        <f t="shared" si="54"/>
        <v>12.848582430655794</v>
      </c>
      <c r="J458" s="17">
        <f t="shared" si="55"/>
        <v>20.859048357079189</v>
      </c>
      <c r="K458" s="17">
        <f t="shared" si="56"/>
        <v>10.178427121847996</v>
      </c>
      <c r="L458" s="17">
        <f t="shared" si="57"/>
        <v>-1.0011544012610902</v>
      </c>
      <c r="M458" s="11">
        <f t="shared" si="58"/>
        <v>-2.6701217617954409E-2</v>
      </c>
    </row>
    <row r="459" spans="1:13" x14ac:dyDescent="0.2">
      <c r="A459" s="6">
        <v>45828</v>
      </c>
      <c r="B459" s="16">
        <v>11.6615</v>
      </c>
      <c r="C459" s="16">
        <v>13.201700000000001</v>
      </c>
      <c r="D459" s="16">
        <v>14.097799999999999</v>
      </c>
      <c r="E459" s="16">
        <v>24.476500000000001</v>
      </c>
      <c r="F459" s="16">
        <v>11.677899999999999</v>
      </c>
      <c r="G459" s="29">
        <f t="shared" si="52"/>
        <v>15.518737739463592</v>
      </c>
      <c r="H459" s="17">
        <f t="shared" si="53"/>
        <v>18.188893048271389</v>
      </c>
      <c r="I459" s="17">
        <f t="shared" si="54"/>
        <v>12.848582430655794</v>
      </c>
      <c r="J459" s="17">
        <f t="shared" si="55"/>
        <v>20.859048357079189</v>
      </c>
      <c r="K459" s="17">
        <f t="shared" si="56"/>
        <v>10.178427121847996</v>
      </c>
      <c r="L459" s="17">
        <f t="shared" si="57"/>
        <v>-1.4445743012550891</v>
      </c>
      <c r="M459" s="11">
        <f t="shared" si="58"/>
        <v>-0.11666679291303395</v>
      </c>
    </row>
    <row r="460" spans="1:13" x14ac:dyDescent="0.2">
      <c r="A460" s="6">
        <v>45835</v>
      </c>
      <c r="B460" s="16">
        <v>11.7826</v>
      </c>
      <c r="C460" s="16">
        <v>13.5746</v>
      </c>
      <c r="D460" s="16">
        <v>14.487</v>
      </c>
      <c r="E460" s="16">
        <v>24.946000000000002</v>
      </c>
      <c r="F460" s="16">
        <v>11.9438</v>
      </c>
      <c r="G460" s="29">
        <f t="shared" si="52"/>
        <v>15.518737739463592</v>
      </c>
      <c r="H460" s="17">
        <f t="shared" si="53"/>
        <v>18.188893048271389</v>
      </c>
      <c r="I460" s="17">
        <f t="shared" si="54"/>
        <v>12.848582430655794</v>
      </c>
      <c r="J460" s="17">
        <f t="shared" si="55"/>
        <v>20.859048357079189</v>
      </c>
      <c r="K460" s="17">
        <f t="shared" si="56"/>
        <v>10.178427121847996</v>
      </c>
      <c r="L460" s="17">
        <f t="shared" si="57"/>
        <v>-1.3992211341188785</v>
      </c>
      <c r="M460" s="11">
        <f t="shared" si="58"/>
        <v>-0.13201125631694488</v>
      </c>
    </row>
    <row r="461" spans="1:13" x14ac:dyDescent="0.2">
      <c r="A461" s="6">
        <v>45842</v>
      </c>
      <c r="B461" s="16">
        <v>12.2363</v>
      </c>
      <c r="C461" s="16">
        <v>13.5481</v>
      </c>
      <c r="D461" s="16">
        <v>14.4155</v>
      </c>
      <c r="E461" s="16">
        <v>24.740200000000002</v>
      </c>
      <c r="F461" s="16">
        <v>11.7875</v>
      </c>
      <c r="G461" s="29">
        <f t="shared" si="52"/>
        <v>15.518737739463592</v>
      </c>
      <c r="H461" s="17">
        <f t="shared" si="53"/>
        <v>18.188893048271389</v>
      </c>
      <c r="I461" s="17">
        <f t="shared" si="54"/>
        <v>12.848582430655794</v>
      </c>
      <c r="J461" s="17">
        <f t="shared" si="55"/>
        <v>20.859048357079189</v>
      </c>
      <c r="K461" s="17">
        <f t="shared" si="56"/>
        <v>10.178427121847996</v>
      </c>
      <c r="L461" s="17">
        <f t="shared" si="57"/>
        <v>-1.2293059241296243</v>
      </c>
      <c r="M461" s="11">
        <f t="shared" si="58"/>
        <v>-9.6825385109351125E-2</v>
      </c>
    </row>
    <row r="462" spans="1:13" x14ac:dyDescent="0.2">
      <c r="A462" s="6">
        <v>45849</v>
      </c>
      <c r="B462" s="16">
        <v>12.5472</v>
      </c>
      <c r="C462" s="16">
        <v>13.6579</v>
      </c>
      <c r="D462" s="16">
        <v>14.593</v>
      </c>
      <c r="E462" s="16">
        <v>24.363399999999999</v>
      </c>
      <c r="F462" s="16">
        <v>12.0236</v>
      </c>
      <c r="G462" s="29">
        <f t="shared" si="52"/>
        <v>15.518737739463592</v>
      </c>
      <c r="H462" s="17">
        <f t="shared" si="53"/>
        <v>18.188893048271389</v>
      </c>
      <c r="I462" s="17">
        <f t="shared" si="54"/>
        <v>12.848582430655794</v>
      </c>
      <c r="J462" s="17">
        <f t="shared" si="55"/>
        <v>20.859048357079189</v>
      </c>
      <c r="K462" s="17">
        <f t="shared" si="56"/>
        <v>10.178427121847996</v>
      </c>
      <c r="L462" s="17">
        <f t="shared" si="57"/>
        <v>-1.1128707493761323</v>
      </c>
      <c r="M462" s="11">
        <f t="shared" si="58"/>
        <v>-8.1322897370752378E-2</v>
      </c>
    </row>
    <row r="463" spans="1:13" x14ac:dyDescent="0.2">
      <c r="A463" s="6">
        <v>45856</v>
      </c>
      <c r="B463" s="16">
        <v>12.4114</v>
      </c>
      <c r="C463" s="16">
        <v>13.941800000000001</v>
      </c>
      <c r="D463" s="16">
        <v>14.956200000000001</v>
      </c>
      <c r="E463" s="16">
        <v>24.236699999999999</v>
      </c>
      <c r="F463" s="16">
        <v>12.553699999999999</v>
      </c>
      <c r="G463" s="29">
        <f t="shared" si="52"/>
        <v>15.518737739463592</v>
      </c>
      <c r="H463" s="17">
        <f t="shared" si="53"/>
        <v>18.188893048271389</v>
      </c>
      <c r="I463" s="17">
        <f t="shared" si="54"/>
        <v>12.848582430655794</v>
      </c>
      <c r="J463" s="17">
        <f t="shared" si="55"/>
        <v>20.859048357079189</v>
      </c>
      <c r="K463" s="17">
        <f t="shared" si="56"/>
        <v>10.178427121847996</v>
      </c>
      <c r="L463" s="17">
        <f t="shared" si="57"/>
        <v>-1.1637292142572007</v>
      </c>
      <c r="M463" s="11">
        <f t="shared" si="58"/>
        <v>-0.1097706178542226</v>
      </c>
    </row>
    <row r="464" spans="1:13" x14ac:dyDescent="0.2">
      <c r="A464" s="6">
        <v>45863</v>
      </c>
      <c r="B464" s="16">
        <v>12.5768</v>
      </c>
      <c r="C464" s="16">
        <v>14.077999999999999</v>
      </c>
      <c r="D464" s="16">
        <v>15.089</v>
      </c>
      <c r="E464" s="16">
        <v>24.3887</v>
      </c>
      <c r="F464" s="16">
        <v>12.9435</v>
      </c>
      <c r="G464" s="29">
        <f t="shared" si="52"/>
        <v>15.518737739463592</v>
      </c>
      <c r="H464" s="17">
        <f t="shared" si="53"/>
        <v>18.188893048271389</v>
      </c>
      <c r="I464" s="17">
        <f t="shared" si="54"/>
        <v>12.848582430655794</v>
      </c>
      <c r="J464" s="17">
        <f t="shared" si="55"/>
        <v>20.859048357079189</v>
      </c>
      <c r="K464" s="17">
        <f t="shared" si="56"/>
        <v>10.178427121847996</v>
      </c>
      <c r="L464" s="17">
        <f t="shared" si="57"/>
        <v>-1.1017852518762821</v>
      </c>
      <c r="M464" s="11">
        <f t="shared" si="58"/>
        <v>-0.10663446512288666</v>
      </c>
    </row>
    <row r="465" spans="1:13" x14ac:dyDescent="0.2">
      <c r="A465" s="6">
        <v>45870</v>
      </c>
      <c r="B465" s="16">
        <v>12.6356</v>
      </c>
      <c r="C465" s="16">
        <v>13.8163</v>
      </c>
      <c r="D465" s="16">
        <v>14.820499999999999</v>
      </c>
      <c r="E465" s="16">
        <v>24.1768</v>
      </c>
      <c r="F465" s="16">
        <v>12.5313</v>
      </c>
      <c r="G465" s="29">
        <f t="shared" si="52"/>
        <v>15.518737739463592</v>
      </c>
      <c r="H465" s="17">
        <f t="shared" si="53"/>
        <v>18.188893048271389</v>
      </c>
      <c r="I465" s="17">
        <f t="shared" si="54"/>
        <v>12.848582430655794</v>
      </c>
      <c r="J465" s="17">
        <f t="shared" si="55"/>
        <v>20.859048357079189</v>
      </c>
      <c r="K465" s="17">
        <f t="shared" si="56"/>
        <v>10.178427121847996</v>
      </c>
      <c r="L465" s="17">
        <f t="shared" si="57"/>
        <v>-1.0797640608968506</v>
      </c>
      <c r="M465" s="11">
        <f t="shared" si="58"/>
        <v>-8.5457032635365415E-2</v>
      </c>
    </row>
    <row r="466" spans="1:13" x14ac:dyDescent="0.2">
      <c r="A466" s="6">
        <v>45877</v>
      </c>
      <c r="B466" s="16">
        <v>12.559699999999999</v>
      </c>
      <c r="C466" s="16">
        <v>14.101599999999999</v>
      </c>
      <c r="D466" s="16">
        <v>15.1092</v>
      </c>
      <c r="E466" s="16">
        <v>23.988</v>
      </c>
      <c r="F466" s="16">
        <v>12.7484</v>
      </c>
      <c r="G466" s="29">
        <f t="shared" si="52"/>
        <v>15.518737739463592</v>
      </c>
      <c r="H466" s="17">
        <f t="shared" si="53"/>
        <v>18.188893048271389</v>
      </c>
      <c r="I466" s="17">
        <f t="shared" si="54"/>
        <v>12.848582430655794</v>
      </c>
      <c r="J466" s="17">
        <f t="shared" si="55"/>
        <v>20.859048357079189</v>
      </c>
      <c r="K466" s="17">
        <f t="shared" si="56"/>
        <v>10.178427121847996</v>
      </c>
      <c r="L466" s="17">
        <f t="shared" si="57"/>
        <v>-1.10818937374275</v>
      </c>
      <c r="M466" s="11">
        <f t="shared" si="58"/>
        <v>-0.10934220230328473</v>
      </c>
    </row>
    <row r="467" spans="1:13" x14ac:dyDescent="0.2">
      <c r="A467" s="6">
        <v>45884</v>
      </c>
      <c r="B467" s="16">
        <v>13.1708</v>
      </c>
      <c r="C467" s="16">
        <v>14.313599999999999</v>
      </c>
      <c r="D467" s="16">
        <v>15.3812</v>
      </c>
      <c r="E467" s="16">
        <v>24.198399999999999</v>
      </c>
      <c r="F467" s="16">
        <v>13.0741</v>
      </c>
      <c r="G467" s="29">
        <f t="shared" si="52"/>
        <v>15.518737739463592</v>
      </c>
      <c r="H467" s="17">
        <f t="shared" si="53"/>
        <v>18.188893048271389</v>
      </c>
      <c r="I467" s="17">
        <f t="shared" si="54"/>
        <v>12.848582430655794</v>
      </c>
      <c r="J467" s="17">
        <f t="shared" si="55"/>
        <v>20.859048357079189</v>
      </c>
      <c r="K467" s="17">
        <f t="shared" si="56"/>
        <v>10.178427121847996</v>
      </c>
      <c r="L467" s="17">
        <f t="shared" si="57"/>
        <v>-0.87932628177794159</v>
      </c>
      <c r="M467" s="11">
        <f t="shared" si="58"/>
        <v>-7.9840152023250566E-2</v>
      </c>
    </row>
    <row r="468" spans="1:13" x14ac:dyDescent="0.2">
      <c r="A468" s="6">
        <v>45891</v>
      </c>
      <c r="B468" s="16">
        <v>13.148300000000001</v>
      </c>
      <c r="C468" s="16">
        <v>14.3005</v>
      </c>
      <c r="D468" s="16">
        <v>15.337199999999999</v>
      </c>
      <c r="E468" s="16">
        <v>24.715399999999999</v>
      </c>
      <c r="F468" s="16">
        <v>13.2882</v>
      </c>
      <c r="G468" s="29">
        <f t="shared" si="52"/>
        <v>15.518737739463592</v>
      </c>
      <c r="H468" s="17">
        <f t="shared" si="53"/>
        <v>18.188893048271389</v>
      </c>
      <c r="I468" s="17">
        <f t="shared" si="54"/>
        <v>12.848582430655794</v>
      </c>
      <c r="J468" s="17">
        <f t="shared" si="55"/>
        <v>20.859048357079189</v>
      </c>
      <c r="K468" s="17">
        <f t="shared" si="56"/>
        <v>10.178427121847996</v>
      </c>
      <c r="L468" s="17">
        <f t="shared" si="57"/>
        <v>-0.88775275791802988</v>
      </c>
      <c r="M468" s="11">
        <f t="shared" si="58"/>
        <v>-8.0570609419250983E-2</v>
      </c>
    </row>
    <row r="469" spans="1:13" x14ac:dyDescent="0.2">
      <c r="A469" s="6">
        <v>45898</v>
      </c>
      <c r="B469" s="16">
        <v>13.449400000000001</v>
      </c>
      <c r="C469" s="16">
        <v>14.374499999999999</v>
      </c>
      <c r="D469" s="16">
        <v>15.474299999999999</v>
      </c>
      <c r="E469" s="16">
        <v>24.190300000000001</v>
      </c>
      <c r="F469" s="16">
        <v>13.5467</v>
      </c>
      <c r="G469" s="29">
        <f t="shared" si="52"/>
        <v>15.518737739463592</v>
      </c>
      <c r="H469" s="17">
        <f t="shared" si="53"/>
        <v>18.188893048271389</v>
      </c>
      <c r="I469" s="17">
        <f t="shared" si="54"/>
        <v>12.848582430655794</v>
      </c>
      <c r="J469" s="17">
        <f t="shared" si="55"/>
        <v>20.859048357079189</v>
      </c>
      <c r="K469" s="17">
        <f t="shared" si="56"/>
        <v>10.178427121847996</v>
      </c>
      <c r="L469" s="17">
        <f t="shared" si="57"/>
        <v>-0.77498778166110993</v>
      </c>
      <c r="M469" s="11">
        <f t="shared" si="58"/>
        <v>-6.4357021113777835E-2</v>
      </c>
    </row>
    <row r="470" spans="1:13" x14ac:dyDescent="0.2">
      <c r="A470" s="6">
        <v>45905</v>
      </c>
      <c r="B470" s="16">
        <v>13.4168</v>
      </c>
      <c r="C470" s="16">
        <v>14.646800000000001</v>
      </c>
      <c r="D470" s="16">
        <v>15.786</v>
      </c>
      <c r="E470" s="16">
        <v>24.419799999999999</v>
      </c>
      <c r="F470" s="16">
        <v>13.9908</v>
      </c>
      <c r="G470" s="29">
        <f t="shared" si="52"/>
        <v>15.518737739463592</v>
      </c>
      <c r="H470" s="17">
        <f t="shared" si="53"/>
        <v>18.188893048271389</v>
      </c>
      <c r="I470" s="17">
        <f t="shared" si="54"/>
        <v>12.848582430655794</v>
      </c>
      <c r="J470" s="17">
        <f t="shared" si="55"/>
        <v>20.859048357079189</v>
      </c>
      <c r="K470" s="17">
        <f t="shared" si="56"/>
        <v>10.178427121847996</v>
      </c>
      <c r="L470" s="17">
        <f t="shared" si="57"/>
        <v>-0.78719680931297198</v>
      </c>
      <c r="M470" s="11">
        <f t="shared" si="58"/>
        <v>-8.3977387552229832E-2</v>
      </c>
    </row>
    <row r="471" spans="1:13" x14ac:dyDescent="0.2">
      <c r="A471" s="6">
        <v>45912</v>
      </c>
      <c r="B471" s="16">
        <v>13.424099999999999</v>
      </c>
      <c r="C471" s="16">
        <v>15.199199999999999</v>
      </c>
      <c r="D471" s="16">
        <v>16.4694</v>
      </c>
      <c r="E471" s="16">
        <v>24.828600000000002</v>
      </c>
      <c r="F471" s="16">
        <v>14.6242</v>
      </c>
      <c r="G471" s="29">
        <f t="shared" si="52"/>
        <v>15.518737739463592</v>
      </c>
      <c r="H471" s="17">
        <f t="shared" si="53"/>
        <v>18.188893048271389</v>
      </c>
      <c r="I471" s="17">
        <f t="shared" si="54"/>
        <v>12.848582430655794</v>
      </c>
      <c r="J471" s="17">
        <f t="shared" si="55"/>
        <v>20.859048357079189</v>
      </c>
      <c r="K471" s="17">
        <f t="shared" si="56"/>
        <v>10.178427121847996</v>
      </c>
      <c r="L471" s="17">
        <f t="shared" si="57"/>
        <v>-0.78446288594307689</v>
      </c>
      <c r="M471" s="11">
        <f t="shared" si="58"/>
        <v>-0.11678904152850156</v>
      </c>
    </row>
    <row r="472" spans="1:13" x14ac:dyDescent="0.2">
      <c r="A472" s="6">
        <v>45919</v>
      </c>
      <c r="B472" s="16">
        <v>14.3329</v>
      </c>
      <c r="C472" s="16">
        <v>15.300599999999999</v>
      </c>
      <c r="D472" s="16">
        <v>16.569199999999999</v>
      </c>
      <c r="E472" s="16">
        <v>25.1206</v>
      </c>
      <c r="F472" s="16">
        <v>14.738899999999999</v>
      </c>
      <c r="G472" s="29">
        <f t="shared" si="52"/>
        <v>15.518737739463592</v>
      </c>
      <c r="H472" s="17">
        <f t="shared" si="53"/>
        <v>18.188893048271389</v>
      </c>
      <c r="I472" s="17">
        <f t="shared" si="54"/>
        <v>12.848582430655794</v>
      </c>
      <c r="J472" s="17">
        <f t="shared" si="55"/>
        <v>20.859048357079189</v>
      </c>
      <c r="K472" s="17">
        <f t="shared" si="56"/>
        <v>10.178427121847996</v>
      </c>
      <c r="L472" s="17">
        <f t="shared" si="57"/>
        <v>-0.4441081518936284</v>
      </c>
      <c r="M472" s="11">
        <f t="shared" si="58"/>
        <v>-6.3245885782256872E-2</v>
      </c>
    </row>
    <row r="473" spans="1:13" x14ac:dyDescent="0.2">
      <c r="A473" s="6">
        <v>45926</v>
      </c>
      <c r="B473" s="16">
        <v>14.230499999999999</v>
      </c>
      <c r="C473" s="16">
        <v>15.197100000000001</v>
      </c>
      <c r="D473" s="16">
        <v>16.3598</v>
      </c>
      <c r="E473" s="16">
        <v>24.3047</v>
      </c>
      <c r="F473" s="16">
        <v>14.6586</v>
      </c>
      <c r="G473" s="29">
        <f t="shared" si="52"/>
        <v>15.518737739463592</v>
      </c>
      <c r="H473" s="17">
        <f t="shared" si="53"/>
        <v>18.188893048271389</v>
      </c>
      <c r="I473" s="17">
        <f t="shared" si="54"/>
        <v>12.848582430655794</v>
      </c>
      <c r="J473" s="17">
        <f t="shared" si="55"/>
        <v>20.859048357079189</v>
      </c>
      <c r="K473" s="17">
        <f t="shared" si="56"/>
        <v>10.178427121847996</v>
      </c>
      <c r="L473" s="17">
        <f t="shared" si="57"/>
        <v>-0.48245798108229904</v>
      </c>
      <c r="M473" s="11">
        <f t="shared" si="58"/>
        <v>-6.3604240282685631E-2</v>
      </c>
    </row>
    <row r="474" spans="1:13" x14ac:dyDescent="0.2">
      <c r="A474" s="6">
        <v>45933</v>
      </c>
      <c r="B474" s="16">
        <v>13.9274</v>
      </c>
      <c r="C474" s="16">
        <v>15.7271</v>
      </c>
      <c r="D474" s="16">
        <v>17.0075</v>
      </c>
      <c r="E474" s="16">
        <v>24.625699999999998</v>
      </c>
      <c r="F474" s="16">
        <v>15.234500000000001</v>
      </c>
      <c r="G474" s="29">
        <f t="shared" si="52"/>
        <v>15.518737739463592</v>
      </c>
      <c r="H474" s="17">
        <f t="shared" si="53"/>
        <v>18.188893048271389</v>
      </c>
      <c r="I474" s="17">
        <f t="shared" si="54"/>
        <v>12.848582430655794</v>
      </c>
      <c r="J474" s="17">
        <f t="shared" si="55"/>
        <v>20.859048357079189</v>
      </c>
      <c r="K474" s="17">
        <f t="shared" si="56"/>
        <v>10.178427121847996</v>
      </c>
      <c r="L474" s="17">
        <f t="shared" si="57"/>
        <v>-0.59597197744055974</v>
      </c>
      <c r="M474" s="11">
        <f t="shared" si="58"/>
        <v>-0.11443304868666182</v>
      </c>
    </row>
    <row r="475" spans="1:13" x14ac:dyDescent="0.2">
      <c r="A475" s="6">
        <v>45940</v>
      </c>
      <c r="B475" s="16">
        <v>14.173299999999999</v>
      </c>
      <c r="C475" s="16">
        <v>15.678599999999999</v>
      </c>
      <c r="D475" s="16">
        <v>16.996300000000002</v>
      </c>
      <c r="E475" s="16">
        <v>24.858599999999999</v>
      </c>
      <c r="F475" s="16">
        <v>14.810499999999999</v>
      </c>
      <c r="G475" s="29">
        <f t="shared" si="52"/>
        <v>15.518737739463592</v>
      </c>
      <c r="H475" s="17">
        <f t="shared" si="53"/>
        <v>18.188893048271389</v>
      </c>
      <c r="I475" s="17">
        <f t="shared" si="54"/>
        <v>12.848582430655794</v>
      </c>
      <c r="J475" s="17">
        <f t="shared" si="55"/>
        <v>20.859048357079189</v>
      </c>
      <c r="K475" s="17">
        <f t="shared" si="56"/>
        <v>10.178427121847996</v>
      </c>
      <c r="L475" s="17">
        <f t="shared" si="57"/>
        <v>-0.50387995598065771</v>
      </c>
      <c r="M475" s="11">
        <f t="shared" si="58"/>
        <v>-9.6009847818045002E-2</v>
      </c>
    </row>
    <row r="476" spans="1:13" x14ac:dyDescent="0.2">
      <c r="A476" s="6">
        <v>45947</v>
      </c>
      <c r="B476" s="16">
        <v>13.7873</v>
      </c>
      <c r="C476" s="16">
        <v>15.567500000000001</v>
      </c>
      <c r="D476" s="16">
        <v>16.755600000000001</v>
      </c>
      <c r="E476" s="16">
        <v>25.411999999999999</v>
      </c>
      <c r="F476" s="16">
        <v>14.231400000000001</v>
      </c>
      <c r="G476" s="29">
        <f t="shared" si="52"/>
        <v>15.518737739463592</v>
      </c>
      <c r="H476" s="17">
        <f t="shared" si="53"/>
        <v>18.188893048271389</v>
      </c>
      <c r="I476" s="17">
        <f t="shared" si="54"/>
        <v>12.848582430655794</v>
      </c>
      <c r="J476" s="17">
        <f t="shared" si="55"/>
        <v>20.859048357079189</v>
      </c>
      <c r="K476" s="17">
        <f t="shared" si="56"/>
        <v>10.178427121847996</v>
      </c>
      <c r="L476" s="17">
        <f t="shared" si="57"/>
        <v>-0.64844083553951193</v>
      </c>
      <c r="M476" s="11">
        <f t="shared" si="58"/>
        <v>-0.11435362132648152</v>
      </c>
    </row>
    <row r="477" spans="1:13" x14ac:dyDescent="0.2">
      <c r="A477" s="6">
        <v>45954</v>
      </c>
      <c r="B477" s="16">
        <v>14.748799999999999</v>
      </c>
      <c r="C477" s="16">
        <v>15.838200000000001</v>
      </c>
      <c r="D477" s="16">
        <v>17.1113</v>
      </c>
      <c r="E477" s="16">
        <v>25.6633</v>
      </c>
      <c r="F477" s="16">
        <v>14.7684</v>
      </c>
      <c r="G477" s="29">
        <f t="shared" si="52"/>
        <v>15.518737739463592</v>
      </c>
      <c r="H477" s="17">
        <f t="shared" si="53"/>
        <v>18.188893048271389</v>
      </c>
      <c r="I477" s="17">
        <f t="shared" si="54"/>
        <v>12.848582430655794</v>
      </c>
      <c r="J477" s="17">
        <f t="shared" si="55"/>
        <v>20.859048357079189</v>
      </c>
      <c r="K477" s="17">
        <f t="shared" si="56"/>
        <v>10.178427121847996</v>
      </c>
      <c r="L477" s="17">
        <f t="shared" si="57"/>
        <v>-0.28834942181972323</v>
      </c>
      <c r="M477" s="11">
        <f t="shared" si="58"/>
        <v>-6.8783068783068835E-2</v>
      </c>
    </row>
    <row r="478" spans="1:13" x14ac:dyDescent="0.2">
      <c r="A478" s="6">
        <v>45961</v>
      </c>
      <c r="B478" s="16">
        <v>14.6183</v>
      </c>
      <c r="C478" s="16">
        <v>15.848000000000001</v>
      </c>
      <c r="D478" s="16">
        <v>17.111799999999999</v>
      </c>
      <c r="E478" s="16">
        <v>25.660399999999999</v>
      </c>
      <c r="F478" s="16">
        <v>14.499499999999999</v>
      </c>
      <c r="G478" s="29">
        <f t="shared" si="52"/>
        <v>15.518737739463592</v>
      </c>
      <c r="H478" s="17">
        <f t="shared" si="53"/>
        <v>18.188893048271389</v>
      </c>
      <c r="I478" s="17">
        <f t="shared" si="54"/>
        <v>12.848582430655794</v>
      </c>
      <c r="J478" s="17">
        <f t="shared" si="55"/>
        <v>20.859048357079189</v>
      </c>
      <c r="K478" s="17">
        <f t="shared" si="56"/>
        <v>10.178427121847996</v>
      </c>
      <c r="L478" s="17">
        <f t="shared" si="57"/>
        <v>-0.33722298343223733</v>
      </c>
      <c r="M478" s="11">
        <f t="shared" si="58"/>
        <v>-7.7593387178192863E-2</v>
      </c>
    </row>
    <row r="479" spans="1:13" x14ac:dyDescent="0.2">
      <c r="A479" s="6">
        <v>45968</v>
      </c>
      <c r="B479" s="16">
        <v>15.039199999999999</v>
      </c>
      <c r="C479" s="16">
        <v>15.6495</v>
      </c>
      <c r="D479" s="16">
        <v>16.895199999999999</v>
      </c>
      <c r="E479" s="16">
        <v>25.374400000000001</v>
      </c>
      <c r="F479" s="16">
        <v>14.523300000000001</v>
      </c>
      <c r="G479" s="29">
        <f t="shared" si="52"/>
        <v>15.518737739463592</v>
      </c>
      <c r="H479" s="17">
        <f t="shared" si="53"/>
        <v>18.188893048271389</v>
      </c>
      <c r="I479" s="17">
        <f t="shared" si="54"/>
        <v>12.848582430655794</v>
      </c>
      <c r="J479" s="17">
        <f t="shared" si="55"/>
        <v>20.859048357079189</v>
      </c>
      <c r="K479" s="17">
        <f t="shared" si="56"/>
        <v>10.178427121847996</v>
      </c>
      <c r="L479" s="17">
        <f t="shared" si="57"/>
        <v>-0.17959170310497882</v>
      </c>
      <c r="M479" s="11">
        <f t="shared" si="58"/>
        <v>-3.8998051055944338E-2</v>
      </c>
    </row>
    <row r="480" spans="1:13" x14ac:dyDescent="0.2">
      <c r="A480" s="6">
        <v>45975</v>
      </c>
      <c r="B480" s="16">
        <v>14.8284</v>
      </c>
      <c r="C480" s="16">
        <v>15.6228</v>
      </c>
      <c r="D480" s="16">
        <v>16.8828</v>
      </c>
      <c r="E480" s="16">
        <v>25.771999999999998</v>
      </c>
      <c r="F480" s="16">
        <v>14.532400000000001</v>
      </c>
      <c r="G480" s="29">
        <f t="shared" si="52"/>
        <v>15.518737739463592</v>
      </c>
      <c r="H480" s="17">
        <f t="shared" si="53"/>
        <v>18.188893048271389</v>
      </c>
      <c r="I480" s="17">
        <f t="shared" si="54"/>
        <v>12.848582430655794</v>
      </c>
      <c r="J480" s="17">
        <f t="shared" si="55"/>
        <v>20.859048357079189</v>
      </c>
      <c r="K480" s="17">
        <f t="shared" si="56"/>
        <v>10.178427121847996</v>
      </c>
      <c r="L480" s="17">
        <f t="shared" si="57"/>
        <v>-0.25853842178634251</v>
      </c>
      <c r="M480" s="11">
        <f t="shared" si="58"/>
        <v>-5.0848759505338292E-2</v>
      </c>
    </row>
    <row r="481" spans="1:13" x14ac:dyDescent="0.2">
      <c r="A481" s="6">
        <v>45982</v>
      </c>
      <c r="B481" s="16">
        <v>14.887700000000001</v>
      </c>
      <c r="C481" s="16">
        <v>15.0305</v>
      </c>
      <c r="D481" s="16">
        <v>16.18</v>
      </c>
      <c r="E481" s="16">
        <v>25.799099999999999</v>
      </c>
      <c r="F481" s="16">
        <v>13.6038</v>
      </c>
      <c r="G481" s="29">
        <f t="shared" si="52"/>
        <v>15.518737739463592</v>
      </c>
      <c r="H481" s="17">
        <f t="shared" si="53"/>
        <v>18.188893048271389</v>
      </c>
      <c r="I481" s="17">
        <f t="shared" si="54"/>
        <v>12.848582430655794</v>
      </c>
      <c r="J481" s="17">
        <f t="shared" si="55"/>
        <v>20.859048357079189</v>
      </c>
      <c r="K481" s="17">
        <f t="shared" si="56"/>
        <v>10.178427121847996</v>
      </c>
      <c r="L481" s="17">
        <f t="shared" si="57"/>
        <v>-0.23632997578157533</v>
      </c>
      <c r="M481" s="11">
        <f t="shared" si="58"/>
        <v>-9.5006819467082781E-3</v>
      </c>
    </row>
    <row r="482" spans="1:13" x14ac:dyDescent="0.2">
      <c r="A482" s="6">
        <v>45989</v>
      </c>
      <c r="B482" s="16">
        <v>15.436500000000001</v>
      </c>
      <c r="C482" s="16">
        <v>15.5825</v>
      </c>
      <c r="D482" s="16">
        <v>16.734400000000001</v>
      </c>
      <c r="E482" s="16">
        <v>26.241199999999999</v>
      </c>
      <c r="F482" s="16">
        <v>14.0336</v>
      </c>
      <c r="G482" s="29">
        <f t="shared" si="52"/>
        <v>15.518737739463592</v>
      </c>
      <c r="H482" s="17">
        <f t="shared" si="53"/>
        <v>18.188893048271389</v>
      </c>
      <c r="I482" s="17">
        <f t="shared" si="54"/>
        <v>12.848582430655794</v>
      </c>
      <c r="J482" s="17">
        <f t="shared" si="55"/>
        <v>20.859048357079189</v>
      </c>
      <c r="K482" s="17">
        <f t="shared" si="56"/>
        <v>10.178427121847996</v>
      </c>
      <c r="L482" s="17">
        <f t="shared" si="57"/>
        <v>-3.0798859973545981E-2</v>
      </c>
      <c r="M482" s="11">
        <f t="shared" si="58"/>
        <v>-9.3694849991977636E-3</v>
      </c>
    </row>
    <row r="483" spans="1:13" x14ac:dyDescent="0.2">
      <c r="A483" s="6">
        <v>45996</v>
      </c>
      <c r="B483" s="16">
        <v>15.5229</v>
      </c>
      <c r="C483" s="16">
        <v>15.7737</v>
      </c>
      <c r="D483" s="16">
        <v>16.957000000000001</v>
      </c>
      <c r="E483" s="16">
        <v>26.215599999999998</v>
      </c>
      <c r="F483" s="16">
        <v>14.229200000000001</v>
      </c>
      <c r="G483" s="29">
        <f t="shared" si="52"/>
        <v>15.518737739463592</v>
      </c>
      <c r="H483" s="17">
        <f t="shared" si="53"/>
        <v>18.188893048271389</v>
      </c>
      <c r="I483" s="17">
        <f t="shared" si="54"/>
        <v>12.848582430655794</v>
      </c>
      <c r="J483" s="17">
        <f t="shared" si="55"/>
        <v>20.859048357079189</v>
      </c>
      <c r="K483" s="17">
        <f t="shared" si="56"/>
        <v>10.178427121847996</v>
      </c>
      <c r="L483" s="17">
        <f t="shared" si="57"/>
        <v>1.5588084043942645E-3</v>
      </c>
      <c r="M483" s="11">
        <f t="shared" si="58"/>
        <v>-1.5899883984100138E-2</v>
      </c>
    </row>
    <row r="484" spans="1:13" x14ac:dyDescent="0.2">
      <c r="A484" s="6">
        <v>46003</v>
      </c>
      <c r="B484" s="16">
        <v>15.3833</v>
      </c>
      <c r="C484" s="16">
        <v>15.7669</v>
      </c>
      <c r="D484" s="16">
        <v>16.8629</v>
      </c>
      <c r="E484" s="16">
        <v>26.137599999999999</v>
      </c>
      <c r="F484" s="16">
        <v>14.0265</v>
      </c>
      <c r="G484" s="29">
        <f t="shared" si="52"/>
        <v>15.518737739463592</v>
      </c>
      <c r="H484" s="17">
        <f t="shared" si="53"/>
        <v>18.188893048271389</v>
      </c>
      <c r="I484" s="17">
        <f t="shared" si="54"/>
        <v>12.848582430655794</v>
      </c>
      <c r="J484" s="17">
        <f t="shared" si="55"/>
        <v>20.859048357079189</v>
      </c>
      <c r="K484" s="17">
        <f t="shared" si="56"/>
        <v>10.178427121847996</v>
      </c>
      <c r="L484" s="17">
        <f t="shared" si="57"/>
        <v>-5.0722794669222429E-2</v>
      </c>
      <c r="M484" s="11">
        <f t="shared" si="58"/>
        <v>-2.4329449669878045E-2</v>
      </c>
    </row>
    <row r="485" spans="1:13" x14ac:dyDescent="0.2">
      <c r="A485" s="6">
        <v>46010</v>
      </c>
      <c r="B485" s="16">
        <v>15.414300000000001</v>
      </c>
      <c r="C485" s="16">
        <v>15.508100000000001</v>
      </c>
      <c r="D485" s="16">
        <v>16.598400000000002</v>
      </c>
      <c r="E485" s="16">
        <v>26.142199999999999</v>
      </c>
      <c r="F485" s="16">
        <v>13.7552</v>
      </c>
      <c r="G485" s="29">
        <f t="shared" si="52"/>
        <v>15.518737739463592</v>
      </c>
      <c r="H485" s="17">
        <f t="shared" si="53"/>
        <v>18.188893048271389</v>
      </c>
      <c r="I485" s="17">
        <f t="shared" si="54"/>
        <v>12.848582430655794</v>
      </c>
      <c r="J485" s="17">
        <f t="shared" si="55"/>
        <v>20.859048357079189</v>
      </c>
      <c r="K485" s="17">
        <f t="shared" si="56"/>
        <v>10.178427121847996</v>
      </c>
      <c r="L485" s="17">
        <f t="shared" si="57"/>
        <v>-3.9112983098433383E-2</v>
      </c>
      <c r="M485" s="11">
        <f t="shared" si="58"/>
        <v>-6.0484520992255542E-3</v>
      </c>
    </row>
    <row r="486" spans="1:13" x14ac:dyDescent="0.2">
      <c r="A486" s="6">
        <v>46017</v>
      </c>
      <c r="B486" s="16">
        <v>15.2323</v>
      </c>
      <c r="C486" s="16">
        <v>15.7842</v>
      </c>
      <c r="D486" s="16">
        <v>16.892700000000001</v>
      </c>
      <c r="E486" s="16">
        <v>26.2363</v>
      </c>
      <c r="F486" s="16">
        <v>13.767300000000001</v>
      </c>
      <c r="G486" s="29">
        <f t="shared" si="52"/>
        <v>15.518737739463592</v>
      </c>
      <c r="H486" s="17">
        <f t="shared" si="53"/>
        <v>18.188893048271389</v>
      </c>
      <c r="I486" s="17">
        <f t="shared" si="54"/>
        <v>12.848582430655794</v>
      </c>
      <c r="J486" s="17">
        <f t="shared" si="55"/>
        <v>20.859048357079189</v>
      </c>
      <c r="K486" s="17">
        <f t="shared" si="56"/>
        <v>10.178427121847996</v>
      </c>
      <c r="L486" s="17">
        <f t="shared" si="57"/>
        <v>-0.10727381232048408</v>
      </c>
      <c r="M486" s="11">
        <f t="shared" si="58"/>
        <v>-3.4965345091927391E-2</v>
      </c>
    </row>
    <row r="487" spans="1:13" x14ac:dyDescent="0.2">
      <c r="A487" s="6">
        <v>46024</v>
      </c>
      <c r="B487" s="16">
        <v>15.3285</v>
      </c>
      <c r="C487" s="16">
        <v>16.0961</v>
      </c>
      <c r="D487" s="16">
        <v>17.264800000000001</v>
      </c>
      <c r="E487" s="16">
        <v>26.616299999999999</v>
      </c>
      <c r="F487" s="16">
        <v>14.0297</v>
      </c>
      <c r="G487" s="29">
        <f t="shared" si="52"/>
        <v>15.518737739463592</v>
      </c>
      <c r="H487" s="17">
        <f t="shared" si="53"/>
        <v>18.188893048271389</v>
      </c>
      <c r="I487" s="17">
        <f t="shared" si="54"/>
        <v>12.848582430655794</v>
      </c>
      <c r="J487" s="17">
        <f t="shared" si="55"/>
        <v>20.859048357079189</v>
      </c>
      <c r="K487" s="17">
        <f t="shared" si="56"/>
        <v>10.178427121847996</v>
      </c>
      <c r="L487" s="17">
        <f t="shared" si="57"/>
        <v>-7.1245945445971792E-2</v>
      </c>
      <c r="M487" s="11">
        <f t="shared" si="58"/>
        <v>-4.7688570523294449E-2</v>
      </c>
    </row>
    <row r="488" spans="1:13" x14ac:dyDescent="0.2">
      <c r="A488" s="6">
        <v>46031</v>
      </c>
      <c r="B488" s="16">
        <v>15.4123</v>
      </c>
      <c r="C488" s="16">
        <v>16.3537</v>
      </c>
      <c r="D488" s="16">
        <v>17.4815</v>
      </c>
      <c r="E488" s="16">
        <v>25.837700000000002</v>
      </c>
      <c r="F488" s="16">
        <v>14.0915</v>
      </c>
      <c r="G488" s="29">
        <f t="shared" si="52"/>
        <v>15.518737739463592</v>
      </c>
      <c r="H488" s="17">
        <f t="shared" si="53"/>
        <v>18.188893048271389</v>
      </c>
      <c r="I488" s="17">
        <f t="shared" si="54"/>
        <v>12.848582430655794</v>
      </c>
      <c r="J488" s="17">
        <f t="shared" si="55"/>
        <v>20.859048357079189</v>
      </c>
      <c r="K488" s="17">
        <f t="shared" si="56"/>
        <v>10.178427121847996</v>
      </c>
      <c r="L488" s="17">
        <f t="shared" si="57"/>
        <v>-3.9862003199774849E-2</v>
      </c>
      <c r="M488" s="11">
        <f t="shared" si="58"/>
        <v>-5.7564954719727002E-2</v>
      </c>
    </row>
    <row r="489" spans="1:13" x14ac:dyDescent="0.2">
      <c r="A489" s="6">
        <v>46038</v>
      </c>
      <c r="B489" s="16">
        <v>15.616899999999999</v>
      </c>
      <c r="C489" s="16">
        <v>16.688800000000001</v>
      </c>
      <c r="D489" s="16">
        <v>17.793099999999999</v>
      </c>
      <c r="E489" s="16">
        <v>25.811900000000001</v>
      </c>
      <c r="F489" s="16">
        <v>14.3231</v>
      </c>
      <c r="G489" s="29">
        <f t="shared" si="52"/>
        <v>15.518737739463592</v>
      </c>
      <c r="H489" s="17">
        <f t="shared" si="53"/>
        <v>18.188893048271389</v>
      </c>
      <c r="I489" s="17">
        <f t="shared" si="54"/>
        <v>12.848582430655794</v>
      </c>
      <c r="J489" s="17">
        <f t="shared" si="55"/>
        <v>20.859048357079189</v>
      </c>
      <c r="K489" s="17">
        <f t="shared" si="56"/>
        <v>10.178427121847996</v>
      </c>
      <c r="L489" s="17">
        <f t="shared" si="57"/>
        <v>3.6762753167431148E-2</v>
      </c>
      <c r="M489" s="11">
        <f t="shared" si="58"/>
        <v>-6.4228704280715254E-2</v>
      </c>
    </row>
    <row r="490" spans="1:13" x14ac:dyDescent="0.2">
      <c r="A490" s="6">
        <v>46045</v>
      </c>
      <c r="B490" s="16">
        <v>15.1572</v>
      </c>
      <c r="C490" s="16">
        <v>16.8263</v>
      </c>
      <c r="D490" s="16">
        <v>17.801400000000001</v>
      </c>
      <c r="E490" s="16">
        <v>24.844999999999999</v>
      </c>
      <c r="F490" s="16">
        <v>14.2294</v>
      </c>
      <c r="G490" s="29">
        <f t="shared" si="52"/>
        <v>15.518737739463592</v>
      </c>
      <c r="H490" s="17">
        <f t="shared" si="53"/>
        <v>18.188893048271389</v>
      </c>
      <c r="I490" s="17">
        <f t="shared" si="54"/>
        <v>12.848582430655794</v>
      </c>
      <c r="J490" s="17">
        <f t="shared" si="55"/>
        <v>20.859048357079189</v>
      </c>
      <c r="K490" s="17">
        <f t="shared" si="56"/>
        <v>10.178427121847996</v>
      </c>
      <c r="L490" s="17">
        <f t="shared" si="57"/>
        <v>-0.13539951712584702</v>
      </c>
      <c r="M490" s="11">
        <f t="shared" si="58"/>
        <v>-9.9195901653958418E-2</v>
      </c>
    </row>
    <row r="491" spans="1:13" x14ac:dyDescent="0.2">
      <c r="A491" s="6">
        <v>46052</v>
      </c>
      <c r="B491" s="16">
        <v>14.611700000000001</v>
      </c>
      <c r="C491" s="16">
        <v>17.1294</v>
      </c>
      <c r="D491" s="16">
        <v>18.1676</v>
      </c>
      <c r="E491" s="16">
        <v>25.0928</v>
      </c>
      <c r="F491" s="16">
        <v>14.3408</v>
      </c>
      <c r="G491" s="29">
        <f t="shared" si="52"/>
        <v>15.518737739463592</v>
      </c>
      <c r="H491" s="17">
        <f t="shared" si="53"/>
        <v>18.188893048271389</v>
      </c>
      <c r="I491" s="17">
        <f t="shared" si="54"/>
        <v>12.848582430655794</v>
      </c>
      <c r="J491" s="17">
        <f t="shared" si="55"/>
        <v>20.859048357079189</v>
      </c>
      <c r="K491" s="17">
        <f t="shared" si="56"/>
        <v>10.178427121847996</v>
      </c>
      <c r="L491" s="17">
        <f t="shared" si="57"/>
        <v>-0.33969474976666292</v>
      </c>
      <c r="M491" s="11">
        <f t="shared" si="58"/>
        <v>-0.14698121358599836</v>
      </c>
    </row>
    <row r="492" spans="1:13" x14ac:dyDescent="0.2">
      <c r="A492" s="6">
        <v>46059</v>
      </c>
      <c r="B492" s="16">
        <v>14.2811</v>
      </c>
      <c r="C492" s="16">
        <v>16.936499999999999</v>
      </c>
      <c r="D492" s="16">
        <v>17.861799999999999</v>
      </c>
      <c r="E492" s="16">
        <v>22.6479</v>
      </c>
      <c r="F492" s="16">
        <v>13.809699999999999</v>
      </c>
      <c r="G492" s="29">
        <f t="shared" si="52"/>
        <v>15.518737739463592</v>
      </c>
      <c r="H492" s="17">
        <f t="shared" si="53"/>
        <v>18.188893048271389</v>
      </c>
      <c r="I492" s="17">
        <f t="shared" si="54"/>
        <v>12.848582430655794</v>
      </c>
      <c r="J492" s="17">
        <f t="shared" si="55"/>
        <v>20.859048357079189</v>
      </c>
      <c r="K492" s="17">
        <f t="shared" si="56"/>
        <v>10.178427121847996</v>
      </c>
      <c r="L492" s="17">
        <f t="shared" si="57"/>
        <v>-0.46350777251836589</v>
      </c>
      <c r="M492" s="11">
        <f t="shared" si="58"/>
        <v>-0.15678564048061872</v>
      </c>
    </row>
    <row r="493" spans="1:13" x14ac:dyDescent="0.2">
      <c r="A493" s="6">
        <v>46066</v>
      </c>
      <c r="B493" s="16">
        <v>14.3392</v>
      </c>
      <c r="C493" s="16">
        <v>17.654299999999999</v>
      </c>
      <c r="D493" s="16">
        <v>18.635400000000001</v>
      </c>
      <c r="E493" s="16">
        <v>22.691800000000001</v>
      </c>
      <c r="F493" s="16">
        <v>13.8149</v>
      </c>
      <c r="G493" s="29">
        <f t="shared" si="52"/>
        <v>15.518737739463592</v>
      </c>
      <c r="H493" s="17">
        <f t="shared" si="53"/>
        <v>18.188893048271389</v>
      </c>
      <c r="I493" s="17">
        <f t="shared" si="54"/>
        <v>12.848582430655794</v>
      </c>
      <c r="J493" s="17">
        <f t="shared" si="55"/>
        <v>20.859048357079189</v>
      </c>
      <c r="K493" s="17">
        <f t="shared" si="56"/>
        <v>10.178427121847996</v>
      </c>
      <c r="L493" s="17">
        <f t="shared" si="57"/>
        <v>-0.44174873857440378</v>
      </c>
      <c r="M493" s="11">
        <f t="shared" si="58"/>
        <v>-0.18777861484170988</v>
      </c>
    </row>
    <row r="494" spans="1:13" x14ac:dyDescent="0.2">
      <c r="A494" s="6">
        <v>46073</v>
      </c>
      <c r="B494" s="16">
        <v>14.344099999999999</v>
      </c>
      <c r="C494" s="16">
        <v>17.754999999999999</v>
      </c>
      <c r="D494" s="16">
        <v>18.8155</v>
      </c>
      <c r="E494" s="16">
        <v>22.726400000000002</v>
      </c>
      <c r="F494" s="16">
        <v>13.68</v>
      </c>
      <c r="G494" s="29">
        <f t="shared" si="52"/>
        <v>15.518737739463592</v>
      </c>
      <c r="H494" s="17">
        <f t="shared" si="53"/>
        <v>18.188893048271389</v>
      </c>
      <c r="I494" s="17">
        <f t="shared" si="54"/>
        <v>12.848582430655794</v>
      </c>
      <c r="J494" s="17">
        <f t="shared" si="55"/>
        <v>20.859048357079189</v>
      </c>
      <c r="K494" s="17">
        <f t="shared" si="56"/>
        <v>10.178427121847996</v>
      </c>
      <c r="L494" s="17">
        <f t="shared" si="57"/>
        <v>-0.43991363932611804</v>
      </c>
      <c r="M494" s="11">
        <f t="shared" si="58"/>
        <v>-0.19210926499577585</v>
      </c>
    </row>
    <row r="495" spans="1:13" x14ac:dyDescent="0.2">
      <c r="A495" s="6">
        <v>46080</v>
      </c>
      <c r="B495" s="16">
        <v>14.2575</v>
      </c>
      <c r="C495" s="16">
        <v>18.203399999999998</v>
      </c>
      <c r="D495" s="16">
        <v>19.416799999999999</v>
      </c>
      <c r="E495" s="16">
        <v>22.457999999999998</v>
      </c>
      <c r="F495" s="16">
        <v>13.6059</v>
      </c>
      <c r="G495" s="29">
        <f t="shared" si="52"/>
        <v>15.518737739463592</v>
      </c>
      <c r="H495" s="17">
        <f t="shared" si="53"/>
        <v>18.188893048271389</v>
      </c>
      <c r="I495" s="17">
        <f t="shared" si="54"/>
        <v>12.848582430655794</v>
      </c>
      <c r="J495" s="17">
        <f t="shared" si="55"/>
        <v>20.859048357079189</v>
      </c>
      <c r="K495" s="17">
        <f t="shared" si="56"/>
        <v>10.178427121847996</v>
      </c>
      <c r="L495" s="17">
        <f t="shared" si="57"/>
        <v>-0.47234620971419228</v>
      </c>
      <c r="M495" s="11">
        <f t="shared" si="58"/>
        <v>-0.2167671973367612</v>
      </c>
    </row>
    <row r="496" spans="1:13" x14ac:dyDescent="0.2">
      <c r="A496" s="6">
        <v>46087</v>
      </c>
      <c r="B496" s="16">
        <v>13.202299999999999</v>
      </c>
      <c r="C496" s="16">
        <v>17.130400000000002</v>
      </c>
      <c r="D496" s="16">
        <v>18.408300000000001</v>
      </c>
      <c r="E496" s="16">
        <v>21.909700000000001</v>
      </c>
      <c r="F496" s="16">
        <v>13.2807</v>
      </c>
      <c r="G496" s="29">
        <f t="shared" si="52"/>
        <v>15.518737739463592</v>
      </c>
      <c r="H496" s="17">
        <f t="shared" si="53"/>
        <v>18.188893048271389</v>
      </c>
      <c r="I496" s="17">
        <f t="shared" si="54"/>
        <v>12.848582430655794</v>
      </c>
      <c r="J496" s="17">
        <f t="shared" si="55"/>
        <v>20.859048357079189</v>
      </c>
      <c r="K496" s="17">
        <f t="shared" si="56"/>
        <v>10.178427121847996</v>
      </c>
      <c r="L496" s="17">
        <f t="shared" si="57"/>
        <v>-0.86752921518181758</v>
      </c>
      <c r="M496" s="11">
        <f t="shared" si="58"/>
        <v>-0.2293057955447626</v>
      </c>
    </row>
    <row r="497" spans="1:13" x14ac:dyDescent="0.2">
      <c r="A497" s="6">
        <v>46094</v>
      </c>
      <c r="B497" s="16">
        <v>12.392899999999999</v>
      </c>
      <c r="C497" s="16">
        <v>16.718299999999999</v>
      </c>
      <c r="D497" s="16">
        <v>18.017099999999999</v>
      </c>
      <c r="E497" s="16">
        <v>20.869700000000002</v>
      </c>
      <c r="F497" s="16">
        <v>13.385899999999999</v>
      </c>
      <c r="G497" s="29">
        <f t="shared" si="52"/>
        <v>15.518737739463592</v>
      </c>
      <c r="H497" s="17">
        <f t="shared" si="53"/>
        <v>18.188893048271389</v>
      </c>
      <c r="I497" s="17">
        <f t="shared" si="54"/>
        <v>12.848582430655794</v>
      </c>
      <c r="J497" s="17">
        <f t="shared" si="55"/>
        <v>20.859048357079189</v>
      </c>
      <c r="K497" s="17">
        <f t="shared" si="56"/>
        <v>10.178427121847996</v>
      </c>
      <c r="L497" s="17">
        <f t="shared" si="57"/>
        <v>-1.1706576501946073</v>
      </c>
      <c r="M497" s="11">
        <f t="shared" si="58"/>
        <v>-0.25872247776388746</v>
      </c>
    </row>
    <row r="498" spans="1:13" x14ac:dyDescent="0.2">
      <c r="A498" s="6">
        <v>46101</v>
      </c>
      <c r="B498" s="16">
        <v>12.604900000000001</v>
      </c>
      <c r="C498" s="16">
        <v>12.220800000000001</v>
      </c>
      <c r="D498" s="16">
        <v>13.0482</v>
      </c>
      <c r="E498" s="16">
        <v>20.839500000000001</v>
      </c>
      <c r="F498" s="16">
        <v>13.5357</v>
      </c>
      <c r="G498" s="29">
        <f t="shared" si="52"/>
        <v>15.518737739463592</v>
      </c>
      <c r="H498" s="17">
        <f t="shared" si="53"/>
        <v>18.188893048271389</v>
      </c>
      <c r="I498" s="17">
        <f t="shared" si="54"/>
        <v>12.848582430655794</v>
      </c>
      <c r="J498" s="17">
        <f t="shared" si="55"/>
        <v>20.859048357079189</v>
      </c>
      <c r="K498" s="17">
        <f t="shared" si="56"/>
        <v>10.178427121847996</v>
      </c>
      <c r="L498" s="17">
        <f t="shared" si="57"/>
        <v>-1.091261519452438</v>
      </c>
      <c r="M498" s="11">
        <f t="shared" si="58"/>
        <v>3.1430020947892157E-2</v>
      </c>
    </row>
    <row r="499" spans="1:13" x14ac:dyDescent="0.2">
      <c r="A499" s="6">
        <v>46108</v>
      </c>
      <c r="B499" s="16">
        <v>11.233599999999999</v>
      </c>
      <c r="C499" s="16">
        <v>12.0246</v>
      </c>
      <c r="D499" s="16">
        <v>12.7775</v>
      </c>
      <c r="E499" s="16">
        <v>20.627800000000001</v>
      </c>
      <c r="F499" s="16">
        <v>11.484400000000001</v>
      </c>
      <c r="G499" s="29">
        <f t="shared" si="52"/>
        <v>15.518737739463592</v>
      </c>
      <c r="H499" s="17">
        <f t="shared" si="53"/>
        <v>18.188893048271389</v>
      </c>
      <c r="I499" s="17">
        <f t="shared" si="54"/>
        <v>12.848582430655794</v>
      </c>
      <c r="J499" s="17">
        <f t="shared" si="55"/>
        <v>20.859048357079189</v>
      </c>
      <c r="K499" s="17">
        <f t="shared" si="56"/>
        <v>10.178427121847996</v>
      </c>
      <c r="L499" s="17">
        <f t="shared" si="57"/>
        <v>-1.6048271519370425</v>
      </c>
      <c r="M499" s="11">
        <f t="shared" si="58"/>
        <v>-6.5781813948073142E-2</v>
      </c>
    </row>
    <row r="500" spans="1:13" x14ac:dyDescent="0.2">
      <c r="A500" s="6">
        <v>46115</v>
      </c>
      <c r="B500" s="16">
        <v>11.296099999999999</v>
      </c>
      <c r="C500" s="16">
        <v>12.0627</v>
      </c>
      <c r="D500" s="16">
        <v>12.72</v>
      </c>
      <c r="E500" s="16">
        <v>20.548200000000001</v>
      </c>
      <c r="F500" s="16">
        <v>11.532299999999999</v>
      </c>
      <c r="G500" s="29">
        <f t="shared" si="52"/>
        <v>15.518737739463592</v>
      </c>
      <c r="H500" s="17">
        <f t="shared" si="53"/>
        <v>18.188893048271389</v>
      </c>
      <c r="I500" s="17">
        <f t="shared" si="54"/>
        <v>12.848582430655794</v>
      </c>
      <c r="J500" s="17">
        <f t="shared" si="55"/>
        <v>20.859048357079189</v>
      </c>
      <c r="K500" s="17">
        <f t="shared" si="56"/>
        <v>10.178427121847996</v>
      </c>
      <c r="L500" s="17">
        <f t="shared" si="57"/>
        <v>-1.5814202737701295</v>
      </c>
      <c r="M500" s="11">
        <f t="shared" si="58"/>
        <v>-6.3551277906273129E-2</v>
      </c>
    </row>
    <row r="501" spans="1:13" x14ac:dyDescent="0.2">
      <c r="A501" s="6">
        <v>46122</v>
      </c>
      <c r="B501" s="16">
        <v>11.972099999999999</v>
      </c>
      <c r="C501" s="16">
        <v>12.3538</v>
      </c>
      <c r="D501" s="16">
        <v>12.9491</v>
      </c>
      <c r="E501" s="16">
        <v>21.808</v>
      </c>
      <c r="F501" s="16">
        <v>11.8589</v>
      </c>
      <c r="G501" s="29">
        <f t="shared" si="52"/>
        <v>15.518737739463592</v>
      </c>
      <c r="H501" s="17">
        <f t="shared" si="53"/>
        <v>18.188893048271389</v>
      </c>
      <c r="I501" s="17">
        <f t="shared" si="54"/>
        <v>12.848582430655794</v>
      </c>
      <c r="J501" s="17">
        <f t="shared" si="55"/>
        <v>20.859048357079189</v>
      </c>
      <c r="K501" s="17">
        <f t="shared" si="56"/>
        <v>10.178427121847996</v>
      </c>
      <c r="L501" s="17">
        <f t="shared" si="57"/>
        <v>-1.3282514795167988</v>
      </c>
      <c r="M501" s="11">
        <f t="shared" si="58"/>
        <v>-3.0897375706260499E-2</v>
      </c>
    </row>
    <row r="502" spans="1:13" x14ac:dyDescent="0.2">
      <c r="A502" s="6">
        <v>46129</v>
      </c>
      <c r="B502" s="16">
        <v>12.0342</v>
      </c>
      <c r="C502" s="16">
        <v>12.572800000000001</v>
      </c>
      <c r="D502" s="16">
        <v>13.1661</v>
      </c>
      <c r="E502" s="16">
        <v>22.2392</v>
      </c>
      <c r="F502" s="16">
        <v>12.1356</v>
      </c>
      <c r="G502" s="29">
        <f t="shared" si="52"/>
        <v>15.518737739463592</v>
      </c>
      <c r="H502" s="17">
        <f t="shared" si="53"/>
        <v>18.188893048271389</v>
      </c>
      <c r="I502" s="17">
        <f t="shared" si="54"/>
        <v>12.848582430655794</v>
      </c>
      <c r="J502" s="17">
        <f t="shared" si="55"/>
        <v>20.859048357079189</v>
      </c>
      <c r="K502" s="17">
        <f t="shared" si="56"/>
        <v>10.178427121847996</v>
      </c>
      <c r="L502" s="17">
        <f t="shared" si="57"/>
        <v>-1.3049944053701539</v>
      </c>
      <c r="M502" s="11">
        <f t="shared" si="58"/>
        <v>-4.2838508526342634E-2</v>
      </c>
    </row>
    <row r="503" spans="1:13" x14ac:dyDescent="0.2">
      <c r="A503" s="6">
        <v>46136</v>
      </c>
      <c r="B503" s="16">
        <v>11.2118</v>
      </c>
      <c r="C503" s="16">
        <v>12.343</v>
      </c>
      <c r="D503" s="16">
        <v>12.975899999999999</v>
      </c>
      <c r="E503" s="16">
        <v>21.733499999999999</v>
      </c>
      <c r="F503" s="16">
        <v>11.9452</v>
      </c>
      <c r="G503" s="29">
        <f t="shared" si="52"/>
        <v>15.518737739463592</v>
      </c>
      <c r="H503" s="17">
        <f t="shared" si="53"/>
        <v>18.188893048271389</v>
      </c>
      <c r="I503" s="17">
        <f t="shared" si="54"/>
        <v>12.848582430655794</v>
      </c>
      <c r="J503" s="17">
        <f t="shared" si="55"/>
        <v>20.859048357079189</v>
      </c>
      <c r="K503" s="17">
        <f t="shared" si="56"/>
        <v>10.178427121847996</v>
      </c>
      <c r="L503" s="17">
        <f t="shared" si="57"/>
        <v>-1.6129914710416613</v>
      </c>
      <c r="M503" s="11">
        <f t="shared" si="58"/>
        <v>-9.1647087417969675E-2</v>
      </c>
    </row>
    <row r="504" spans="1:13" x14ac:dyDescent="0.2">
      <c r="A504" s="6">
        <v>46143</v>
      </c>
      <c r="B504" s="16">
        <v>10.861599999999999</v>
      </c>
      <c r="C504" s="16">
        <v>12.0953</v>
      </c>
      <c r="D504" s="16">
        <v>12.7194</v>
      </c>
      <c r="E504" s="16">
        <v>21.743099999999998</v>
      </c>
      <c r="F504" s="16">
        <v>11.7879</v>
      </c>
      <c r="G504" s="29">
        <f t="shared" si="52"/>
        <v>15.518737739463592</v>
      </c>
      <c r="H504" s="17">
        <f t="shared" si="53"/>
        <v>18.188893048271389</v>
      </c>
      <c r="I504" s="17">
        <f t="shared" si="54"/>
        <v>12.848582430655794</v>
      </c>
      <c r="J504" s="17">
        <f t="shared" si="55"/>
        <v>20.859048357079189</v>
      </c>
      <c r="K504" s="17">
        <f t="shared" si="56"/>
        <v>10.178427121847996</v>
      </c>
      <c r="L504" s="17">
        <f t="shared" si="57"/>
        <v>-1.7441448907865085</v>
      </c>
      <c r="M504" s="11">
        <f t="shared" si="58"/>
        <v>-0.10199829685911066</v>
      </c>
    </row>
    <row r="505" spans="1:13" x14ac:dyDescent="0.2">
      <c r="A505" s="6">
        <v>46150</v>
      </c>
      <c r="B505" s="16">
        <v>11.1919</v>
      </c>
      <c r="C505" s="16">
        <v>12.712199999999999</v>
      </c>
      <c r="D505" s="16">
        <v>13.423400000000001</v>
      </c>
      <c r="E505" s="16">
        <v>21.980799999999999</v>
      </c>
      <c r="F505" s="16">
        <v>12.1371</v>
      </c>
      <c r="G505" s="29">
        <f t="shared" si="52"/>
        <v>15.518737739463592</v>
      </c>
      <c r="H505" s="17">
        <f t="shared" si="53"/>
        <v>18.188893048271389</v>
      </c>
      <c r="I505" s="17">
        <f t="shared" si="54"/>
        <v>12.848582430655794</v>
      </c>
      <c r="J505" s="17">
        <f t="shared" si="55"/>
        <v>20.859048357079189</v>
      </c>
      <c r="K505" s="17">
        <f t="shared" si="56"/>
        <v>10.178427121847996</v>
      </c>
      <c r="L505" s="17">
        <f t="shared" si="57"/>
        <v>-1.6204442210500063</v>
      </c>
      <c r="M505" s="11">
        <f t="shared" si="58"/>
        <v>-0.11959377605764532</v>
      </c>
    </row>
    <row r="506" spans="1:13" x14ac:dyDescent="0.2">
      <c r="A506" s="6">
        <v>46157</v>
      </c>
      <c r="B506" s="16">
        <v>10.7659</v>
      </c>
      <c r="C506" s="16">
        <v>12.4831</v>
      </c>
      <c r="D506" s="16">
        <v>13.2637</v>
      </c>
      <c r="E506" s="16">
        <v>21.523099999999999</v>
      </c>
      <c r="F506" s="16">
        <v>11.998799999999999</v>
      </c>
      <c r="G506" s="29">
        <f t="shared" si="52"/>
        <v>15.518737739463592</v>
      </c>
      <c r="H506" s="17">
        <f t="shared" si="53"/>
        <v>18.188893048271389</v>
      </c>
      <c r="I506" s="17">
        <f t="shared" si="54"/>
        <v>12.848582430655794</v>
      </c>
      <c r="J506" s="17">
        <f t="shared" si="55"/>
        <v>20.859048357079189</v>
      </c>
      <c r="K506" s="17">
        <f t="shared" si="56"/>
        <v>10.178427121847996</v>
      </c>
      <c r="L506" s="17">
        <f t="shared" si="57"/>
        <v>-1.7799855026356852</v>
      </c>
      <c r="M506" s="11">
        <f t="shared" si="58"/>
        <v>-0.1375619838021005</v>
      </c>
    </row>
    <row r="507" spans="1:13" x14ac:dyDescent="0.2">
      <c r="A507" s="6">
        <v>46164</v>
      </c>
      <c r="B507" s="16">
        <v>10.0532</v>
      </c>
      <c r="C507" s="16">
        <v>12.5619</v>
      </c>
      <c r="D507" s="16">
        <v>13.3454</v>
      </c>
      <c r="E507" s="16">
        <v>21.4739</v>
      </c>
      <c r="F507" s="16">
        <v>11.6914</v>
      </c>
      <c r="G507" s="29">
        <f t="shared" si="52"/>
        <v>15.518737739463592</v>
      </c>
      <c r="H507" s="17">
        <f t="shared" si="53"/>
        <v>18.188893048271389</v>
      </c>
      <c r="I507" s="17">
        <f t="shared" si="54"/>
        <v>12.848582430655794</v>
      </c>
      <c r="J507" s="17">
        <f t="shared" si="55"/>
        <v>20.859048357079189</v>
      </c>
      <c r="K507" s="17">
        <f t="shared" si="56"/>
        <v>10.178427121847996</v>
      </c>
      <c r="L507" s="17">
        <f t="shared" si="57"/>
        <v>-2.046898815748627</v>
      </c>
      <c r="M507" s="11">
        <f t="shared" si="58"/>
        <v>-0.19970705068500783</v>
      </c>
    </row>
    <row r="508" spans="1:13" x14ac:dyDescent="0.2">
      <c r="A508" s="6">
        <v>46171</v>
      </c>
      <c r="B508" s="16">
        <v>10.0059</v>
      </c>
      <c r="C508" s="16">
        <v>12.982100000000001</v>
      </c>
      <c r="D508" s="16">
        <v>13.7784</v>
      </c>
      <c r="E508" s="16">
        <v>21.429099999999998</v>
      </c>
      <c r="F508" s="16">
        <v>11.5364</v>
      </c>
      <c r="G508" s="29">
        <f t="shared" si="52"/>
        <v>15.518737739463592</v>
      </c>
      <c r="H508" s="17">
        <f t="shared" si="53"/>
        <v>18.188893048271389</v>
      </c>
      <c r="I508" s="17">
        <f t="shared" si="54"/>
        <v>12.848582430655794</v>
      </c>
      <c r="J508" s="17">
        <f t="shared" si="55"/>
        <v>20.859048357079189</v>
      </c>
      <c r="K508" s="17">
        <f t="shared" si="56"/>
        <v>10.178427121847996</v>
      </c>
      <c r="L508" s="17">
        <f t="shared" si="57"/>
        <v>-2.064613141145347</v>
      </c>
      <c r="M508" s="11">
        <f t="shared" si="58"/>
        <v>-0.22925412683618218</v>
      </c>
    </row>
    <row r="509" spans="1:13" x14ac:dyDescent="0.2">
      <c r="A509" s="6">
        <v>46178</v>
      </c>
      <c r="B509" s="16">
        <v>8.6738999999999997</v>
      </c>
      <c r="C509" s="16">
        <v>12.737500000000001</v>
      </c>
      <c r="D509" s="16">
        <v>13.553599999999999</v>
      </c>
      <c r="E509" s="16">
        <v>21.204000000000001</v>
      </c>
      <c r="F509" s="16">
        <v>11.779500000000001</v>
      </c>
      <c r="G509" s="29">
        <f t="shared" si="52"/>
        <v>15.518737739463592</v>
      </c>
      <c r="H509" s="17">
        <f t="shared" si="53"/>
        <v>18.188893048271389</v>
      </c>
      <c r="I509" s="17">
        <f t="shared" si="54"/>
        <v>12.848582430655794</v>
      </c>
      <c r="J509" s="17">
        <f t="shared" si="55"/>
        <v>20.859048357079189</v>
      </c>
      <c r="K509" s="17">
        <f t="shared" si="56"/>
        <v>10.178427121847996</v>
      </c>
      <c r="L509" s="17">
        <f t="shared" si="57"/>
        <v>-2.5634605286385961</v>
      </c>
      <c r="M509" s="11">
        <f t="shared" si="58"/>
        <v>-0.31902649656526016</v>
      </c>
    </row>
    <row r="510" spans="1:13" x14ac:dyDescent="0.2">
      <c r="A510" s="6">
        <v>46185</v>
      </c>
      <c r="B510" s="16">
        <v>9.4284999999999997</v>
      </c>
      <c r="C510" s="16">
        <v>12.6745</v>
      </c>
      <c r="D510" s="16">
        <v>13.3774</v>
      </c>
      <c r="E510" s="16">
        <v>21.246300000000002</v>
      </c>
      <c r="F510" s="16">
        <v>11.652699999999999</v>
      </c>
      <c r="G510" s="29">
        <f t="shared" si="52"/>
        <v>15.518737739463592</v>
      </c>
      <c r="H510" s="17">
        <f t="shared" si="53"/>
        <v>18.188893048271389</v>
      </c>
      <c r="I510" s="17">
        <f t="shared" si="54"/>
        <v>12.848582430655794</v>
      </c>
      <c r="J510" s="17">
        <f t="shared" si="55"/>
        <v>20.859048357079189</v>
      </c>
      <c r="K510" s="17">
        <f t="shared" si="56"/>
        <v>10.178427121847996</v>
      </c>
      <c r="L510" s="17">
        <f t="shared" si="57"/>
        <v>-2.2808552444025558</v>
      </c>
      <c r="M510" s="11">
        <f t="shared" si="58"/>
        <v>-0.25610477730876957</v>
      </c>
    </row>
    <row r="511" spans="1:13" x14ac:dyDescent="0.2">
      <c r="A511" s="6">
        <v>46192</v>
      </c>
      <c r="B511" s="16">
        <v>9.6868999999999996</v>
      </c>
      <c r="C511" s="16">
        <v>13.1358</v>
      </c>
      <c r="D511" s="16">
        <v>13.9259</v>
      </c>
      <c r="E511" s="16">
        <v>21.566400000000002</v>
      </c>
      <c r="F511" s="16">
        <v>11.3133</v>
      </c>
      <c r="G511" s="29">
        <f t="shared" si="52"/>
        <v>15.518737739463592</v>
      </c>
      <c r="H511" s="17">
        <f t="shared" si="53"/>
        <v>18.188893048271389</v>
      </c>
      <c r="I511" s="17">
        <f t="shared" si="54"/>
        <v>12.848582430655794</v>
      </c>
      <c r="J511" s="17">
        <f t="shared" si="55"/>
        <v>20.859048357079189</v>
      </c>
      <c r="K511" s="17">
        <f t="shared" si="56"/>
        <v>10.178427121847996</v>
      </c>
      <c r="L511" s="17">
        <f t="shared" si="57"/>
        <v>-2.1840818473092707</v>
      </c>
      <c r="M511" s="11">
        <f t="shared" si="58"/>
        <v>-0.26255728619497865</v>
      </c>
    </row>
    <row r="512" spans="1:13" x14ac:dyDescent="0.2">
      <c r="A512" s="6">
        <v>46199</v>
      </c>
      <c r="B512" s="16">
        <v>9.2524999999999995</v>
      </c>
      <c r="C512" s="16">
        <v>12.548400000000001</v>
      </c>
      <c r="D512" s="16">
        <v>13.2493</v>
      </c>
      <c r="E512" s="16">
        <v>21.5108</v>
      </c>
      <c r="F512" s="16">
        <v>10.6999</v>
      </c>
      <c r="G512" s="29">
        <f t="shared" si="52"/>
        <v>15.518737739463592</v>
      </c>
      <c r="H512" s="17">
        <f t="shared" si="53"/>
        <v>18.188893048271389</v>
      </c>
      <c r="I512" s="17">
        <f t="shared" si="54"/>
        <v>12.848582430655794</v>
      </c>
      <c r="J512" s="17">
        <f t="shared" si="55"/>
        <v>20.859048357079189</v>
      </c>
      <c r="K512" s="17">
        <f t="shared" si="56"/>
        <v>10.178427121847996</v>
      </c>
      <c r="L512" s="17">
        <f t="shared" si="57"/>
        <v>-2.346769013320583</v>
      </c>
      <c r="M512" s="11">
        <f t="shared" si="58"/>
        <v>-0.26265499984061724</v>
      </c>
    </row>
    <row r="513" spans="1:13" x14ac:dyDescent="0.2">
      <c r="A513" s="6">
        <v>46206</v>
      </c>
      <c r="B513" s="16">
        <v>9.1616</v>
      </c>
      <c r="C513" s="16">
        <v>12.585599999999999</v>
      </c>
      <c r="D513" s="16">
        <v>13.2461</v>
      </c>
      <c r="E513" s="16">
        <v>21.736799999999999</v>
      </c>
      <c r="F513" s="16">
        <v>11.034000000000001</v>
      </c>
      <c r="G513" s="29">
        <f t="shared" si="52"/>
        <v>15.518737739463592</v>
      </c>
      <c r="H513" s="17">
        <f t="shared" si="53"/>
        <v>18.188893048271389</v>
      </c>
      <c r="I513" s="17">
        <f t="shared" si="54"/>
        <v>12.848582430655794</v>
      </c>
      <c r="J513" s="17">
        <f t="shared" si="55"/>
        <v>20.859048357079189</v>
      </c>
      <c r="K513" s="17">
        <f t="shared" si="56"/>
        <v>10.178427121847996</v>
      </c>
      <c r="L513" s="17">
        <f t="shared" si="57"/>
        <v>-2.380811976926541</v>
      </c>
      <c r="M513" s="11">
        <f t="shared" si="58"/>
        <v>-0.27205695397915075</v>
      </c>
    </row>
    <row r="514" spans="1:13" x14ac:dyDescent="0.2">
      <c r="A514" s="6">
        <v>46213</v>
      </c>
      <c r="B514" s="16">
        <v>9.3375000000000004</v>
      </c>
      <c r="C514" s="16">
        <v>12.2721</v>
      </c>
      <c r="D514" s="16">
        <v>12.8796</v>
      </c>
      <c r="E514" s="16">
        <v>22.1709</v>
      </c>
      <c r="F514" s="16">
        <v>11.368399999999999</v>
      </c>
      <c r="G514" s="29">
        <f t="shared" si="52"/>
        <v>15.518737739463592</v>
      </c>
      <c r="H514" s="17">
        <f t="shared" si="53"/>
        <v>18.188893048271389</v>
      </c>
      <c r="I514" s="17">
        <f t="shared" si="54"/>
        <v>12.848582430655794</v>
      </c>
      <c r="J514" s="17">
        <f t="shared" si="55"/>
        <v>20.859048357079189</v>
      </c>
      <c r="K514" s="17">
        <f t="shared" si="56"/>
        <v>10.178427121847996</v>
      </c>
      <c r="L514" s="17">
        <f t="shared" si="57"/>
        <v>-2.3149356590135808</v>
      </c>
      <c r="M514" s="11">
        <f t="shared" si="58"/>
        <v>-0.23912777764196835</v>
      </c>
    </row>
    <row r="515" spans="1:13" x14ac:dyDescent="0.2">
      <c r="A515" s="6">
        <v>46220</v>
      </c>
      <c r="B515" s="16">
        <v>9.9334000000000007</v>
      </c>
      <c r="C515" s="16">
        <v>11.685</v>
      </c>
      <c r="D515" s="16">
        <v>12.231299999999999</v>
      </c>
      <c r="E515" s="16">
        <v>22.101700000000001</v>
      </c>
      <c r="F515" s="16">
        <v>11.274100000000001</v>
      </c>
      <c r="G515" s="29">
        <f t="shared" si="52"/>
        <v>15.518737739463592</v>
      </c>
      <c r="H515" s="17">
        <f t="shared" si="53"/>
        <v>18.188893048271389</v>
      </c>
      <c r="I515" s="17">
        <f t="shared" si="54"/>
        <v>12.848582430655794</v>
      </c>
      <c r="J515" s="17">
        <f t="shared" si="55"/>
        <v>20.859048357079189</v>
      </c>
      <c r="K515" s="17">
        <f t="shared" si="56"/>
        <v>10.178427121847996</v>
      </c>
      <c r="L515" s="17">
        <f t="shared" si="57"/>
        <v>-2.091765119818966</v>
      </c>
      <c r="M515" s="11">
        <f t="shared" si="58"/>
        <v>-0.1499015832263586</v>
      </c>
    </row>
    <row r="516" spans="1:13" x14ac:dyDescent="0.2">
      <c r="A516" s="6">
        <v>46227</v>
      </c>
      <c r="B516" s="16">
        <v>9.7445000000000004</v>
      </c>
      <c r="C516" s="16">
        <v>11.656000000000001</v>
      </c>
      <c r="D516" s="16">
        <v>12.186299999999999</v>
      </c>
      <c r="E516" s="16">
        <v>21.828499999999998</v>
      </c>
      <c r="F516" s="16">
        <v>11.3687</v>
      </c>
      <c r="G516" s="29">
        <f t="shared" si="52"/>
        <v>15.518737739463592</v>
      </c>
      <c r="H516" s="17">
        <f t="shared" si="53"/>
        <v>18.188893048271389</v>
      </c>
      <c r="I516" s="17">
        <f t="shared" si="54"/>
        <v>12.848582430655794</v>
      </c>
      <c r="J516" s="17">
        <f t="shared" si="55"/>
        <v>20.859048357079189</v>
      </c>
      <c r="K516" s="17">
        <f t="shared" si="56"/>
        <v>10.178427121847996</v>
      </c>
      <c r="L516" s="17">
        <f t="shared" si="57"/>
        <v>-2.1625100683906435</v>
      </c>
      <c r="M516" s="11">
        <f t="shared" si="58"/>
        <v>-0.16399279341111872</v>
      </c>
    </row>
    <row r="517" spans="1:13" x14ac:dyDescent="0.2">
      <c r="A517" s="6">
        <v>46234</v>
      </c>
      <c r="B517" s="16">
        <v>9.8940000000000001</v>
      </c>
      <c r="C517" s="16">
        <v>11.636200000000001</v>
      </c>
      <c r="D517" s="16">
        <v>12.144500000000001</v>
      </c>
      <c r="E517" s="16">
        <v>21.764500000000002</v>
      </c>
      <c r="F517" s="16">
        <v>11.7638</v>
      </c>
      <c r="G517" s="29">
        <f t="shared" si="52"/>
        <v>15.518737739463592</v>
      </c>
      <c r="H517" s="17">
        <f t="shared" si="53"/>
        <v>18.188893048271389</v>
      </c>
      <c r="I517" s="17">
        <f t="shared" si="54"/>
        <v>12.848582430655794</v>
      </c>
      <c r="J517" s="17">
        <f t="shared" si="55"/>
        <v>20.859048357079189</v>
      </c>
      <c r="K517" s="17">
        <f t="shared" si="56"/>
        <v>10.178427121847996</v>
      </c>
      <c r="L517" s="17">
        <f t="shared" si="57"/>
        <v>-2.1065208158153879</v>
      </c>
      <c r="M517" s="11">
        <f t="shared" si="58"/>
        <v>-0.14972241797150276</v>
      </c>
    </row>
    <row r="518" spans="1:13" x14ac:dyDescent="0.2">
      <c r="A518" s="6">
        <v>46241</v>
      </c>
      <c r="B518" s="16">
        <v>10.0945</v>
      </c>
      <c r="C518" s="16">
        <v>11.3918</v>
      </c>
      <c r="D518" s="16">
        <v>11.8041</v>
      </c>
      <c r="E518" s="16">
        <v>21.9251</v>
      </c>
      <c r="F518" s="16">
        <v>11.8775</v>
      </c>
      <c r="G518" s="29">
        <f t="shared" ref="G518:G527" si="59">$R$6</f>
        <v>15.518737739463592</v>
      </c>
      <c r="H518" s="17">
        <f t="shared" ref="H518:H527" si="60">$R$6+$R$7</f>
        <v>18.188893048271389</v>
      </c>
      <c r="I518" s="17">
        <f t="shared" ref="I518:I527" si="61">$R$6-$R$7</f>
        <v>12.848582430655794</v>
      </c>
      <c r="J518" s="17">
        <f t="shared" ref="J518:J527" si="62">$R$6+2*$R$7</f>
        <v>20.859048357079189</v>
      </c>
      <c r="K518" s="17">
        <f t="shared" ref="K518:K527" si="63">$R$6-2*$R$7</f>
        <v>10.178427121847996</v>
      </c>
      <c r="L518" s="17">
        <f t="shared" ref="L518:L527" si="64">(B518-$R$6)/$R$7</f>
        <v>-2.0314315506559311</v>
      </c>
      <c r="M518" s="11">
        <f t="shared" ref="M518:M527" si="65">IF(AND(ISNUMBER(B518),ISNUMBER(C518)),B518/C518-1,"")</f>
        <v>-0.11388015941291108</v>
      </c>
    </row>
    <row r="519" spans="1:13" x14ac:dyDescent="0.2">
      <c r="A519" s="6">
        <v>46248</v>
      </c>
      <c r="B519" s="16">
        <v>9.9635999999999996</v>
      </c>
      <c r="C519" s="16">
        <v>11.6637</v>
      </c>
      <c r="D519" s="16">
        <v>12.144600000000001</v>
      </c>
      <c r="E519" s="16">
        <v>21.806999999999999</v>
      </c>
      <c r="F519" s="16">
        <v>11.552899999999999</v>
      </c>
      <c r="G519" s="29">
        <f t="shared" si="59"/>
        <v>15.518737739463592</v>
      </c>
      <c r="H519" s="17">
        <f t="shared" si="60"/>
        <v>18.188893048271389</v>
      </c>
      <c r="I519" s="17">
        <f t="shared" si="61"/>
        <v>12.848582430655794</v>
      </c>
      <c r="J519" s="17">
        <f t="shared" si="62"/>
        <v>20.859048357079189</v>
      </c>
      <c r="K519" s="17">
        <f t="shared" si="63"/>
        <v>10.178427121847996</v>
      </c>
      <c r="L519" s="17">
        <f t="shared" si="64"/>
        <v>-2.0804549162887138</v>
      </c>
      <c r="M519" s="11">
        <f t="shared" si="65"/>
        <v>-0.14575992180868858</v>
      </c>
    </row>
    <row r="520" spans="1:13" x14ac:dyDescent="0.2">
      <c r="A520" s="6">
        <v>46255</v>
      </c>
      <c r="B520" s="16">
        <v>10.1508</v>
      </c>
      <c r="C520" s="16">
        <v>11.653700000000001</v>
      </c>
      <c r="D520" s="16">
        <v>12.0997</v>
      </c>
      <c r="E520" s="16">
        <v>21.674199999999999</v>
      </c>
      <c r="F520" s="16">
        <v>11.992699999999999</v>
      </c>
      <c r="G520" s="29">
        <f t="shared" si="59"/>
        <v>15.518737739463592</v>
      </c>
      <c r="H520" s="17">
        <f t="shared" si="60"/>
        <v>18.188893048271389</v>
      </c>
      <c r="I520" s="17">
        <f t="shared" si="61"/>
        <v>12.848582430655794</v>
      </c>
      <c r="J520" s="17">
        <f t="shared" si="62"/>
        <v>20.859048357079189</v>
      </c>
      <c r="K520" s="17">
        <f t="shared" si="63"/>
        <v>10.178427121847996</v>
      </c>
      <c r="L520" s="17">
        <f t="shared" si="64"/>
        <v>-2.010346634803176</v>
      </c>
      <c r="M520" s="11">
        <f t="shared" si="65"/>
        <v>-0.12896333353355593</v>
      </c>
    </row>
    <row r="521" spans="1:13" x14ac:dyDescent="0.2">
      <c r="A521" s="6">
        <v>46262</v>
      </c>
      <c r="B521" s="16">
        <v>10.1707</v>
      </c>
      <c r="C521" s="16">
        <v>11.638500000000001</v>
      </c>
      <c r="D521" s="16">
        <v>12.068300000000001</v>
      </c>
      <c r="E521" s="16">
        <v>21.6311</v>
      </c>
      <c r="F521" s="16">
        <v>11.8666</v>
      </c>
      <c r="G521" s="29">
        <f t="shared" si="59"/>
        <v>15.518737739463592</v>
      </c>
      <c r="H521" s="17">
        <f t="shared" si="60"/>
        <v>18.188893048271389</v>
      </c>
      <c r="I521" s="17">
        <f t="shared" si="61"/>
        <v>12.848582430655794</v>
      </c>
      <c r="J521" s="17">
        <f t="shared" si="62"/>
        <v>20.859048357079189</v>
      </c>
      <c r="K521" s="17">
        <f t="shared" si="63"/>
        <v>10.178427121847996</v>
      </c>
      <c r="L521" s="17">
        <f t="shared" si="64"/>
        <v>-2.002893884794831</v>
      </c>
      <c r="M521" s="11">
        <f t="shared" si="65"/>
        <v>-0.1261159084074408</v>
      </c>
    </row>
    <row r="522" spans="1:13" x14ac:dyDescent="0.2">
      <c r="A522" s="6">
        <v>46269</v>
      </c>
      <c r="B522" s="16">
        <v>10.169499999999999</v>
      </c>
      <c r="C522" s="16">
        <v>11.545</v>
      </c>
      <c r="D522" s="16">
        <v>11.9443</v>
      </c>
      <c r="E522" s="16">
        <v>21.6999</v>
      </c>
      <c r="F522" s="16">
        <v>11.7875</v>
      </c>
      <c r="G522" s="29">
        <f t="shared" si="59"/>
        <v>15.518737739463592</v>
      </c>
      <c r="H522" s="17">
        <f t="shared" si="60"/>
        <v>18.188893048271389</v>
      </c>
      <c r="I522" s="17">
        <f t="shared" si="61"/>
        <v>12.848582430655794</v>
      </c>
      <c r="J522" s="17">
        <f t="shared" si="62"/>
        <v>20.859048357079189</v>
      </c>
      <c r="K522" s="17">
        <f t="shared" si="63"/>
        <v>10.178427121847996</v>
      </c>
      <c r="L522" s="17">
        <f t="shared" si="64"/>
        <v>-2.0033432968556357</v>
      </c>
      <c r="M522" s="11">
        <f t="shared" si="65"/>
        <v>-0.11914248592464272</v>
      </c>
    </row>
    <row r="523" spans="1:13" x14ac:dyDescent="0.2">
      <c r="A523" s="6">
        <v>46276</v>
      </c>
      <c r="B523" s="16">
        <v>9.8675999999999995</v>
      </c>
      <c r="C523" s="16">
        <v>11.4594</v>
      </c>
      <c r="D523" s="16">
        <v>11.8369</v>
      </c>
      <c r="E523" s="16">
        <v>21.1953</v>
      </c>
      <c r="F523" s="16">
        <v>11.414899999999999</v>
      </c>
      <c r="G523" s="29">
        <f t="shared" si="59"/>
        <v>15.518737739463592</v>
      </c>
      <c r="H523" s="17">
        <f t="shared" si="60"/>
        <v>18.188893048271389</v>
      </c>
      <c r="I523" s="17">
        <f t="shared" si="61"/>
        <v>12.848582430655794</v>
      </c>
      <c r="J523" s="17">
        <f t="shared" si="62"/>
        <v>20.859048357079189</v>
      </c>
      <c r="K523" s="17">
        <f t="shared" si="63"/>
        <v>10.178427121847996</v>
      </c>
      <c r="L523" s="17">
        <f t="shared" si="64"/>
        <v>-2.116407881153092</v>
      </c>
      <c r="M523" s="11">
        <f t="shared" si="65"/>
        <v>-0.1389077962196974</v>
      </c>
    </row>
    <row r="524" spans="1:13" x14ac:dyDescent="0.2">
      <c r="A524" s="6">
        <v>46283</v>
      </c>
      <c r="B524" s="16">
        <v>9.7872000000000003</v>
      </c>
      <c r="C524" s="16">
        <v>11.519299999999999</v>
      </c>
      <c r="D524" s="16">
        <v>11.9444</v>
      </c>
      <c r="E524" s="16">
        <v>21.1496</v>
      </c>
      <c r="F524" s="16">
        <v>11.3893</v>
      </c>
      <c r="G524" s="29">
        <f t="shared" si="59"/>
        <v>15.518737739463592</v>
      </c>
      <c r="H524" s="17">
        <f t="shared" si="60"/>
        <v>18.188893048271389</v>
      </c>
      <c r="I524" s="17">
        <f t="shared" si="61"/>
        <v>12.848582430655794</v>
      </c>
      <c r="J524" s="17">
        <f t="shared" si="62"/>
        <v>20.859048357079189</v>
      </c>
      <c r="K524" s="17">
        <f t="shared" si="63"/>
        <v>10.178427121847996</v>
      </c>
      <c r="L524" s="17">
        <f t="shared" si="64"/>
        <v>-2.1465184892270086</v>
      </c>
      <c r="M524" s="11">
        <f t="shared" si="65"/>
        <v>-0.15036503954233327</v>
      </c>
    </row>
    <row r="525" spans="1:13" x14ac:dyDescent="0.2">
      <c r="A525" s="6">
        <v>46290</v>
      </c>
      <c r="B525" s="16">
        <v>9.4227000000000007</v>
      </c>
      <c r="C525" s="16">
        <v>11.6126</v>
      </c>
      <c r="D525" s="16">
        <v>12.071300000000001</v>
      </c>
      <c r="E525" s="16">
        <v>20.898199999999999</v>
      </c>
      <c r="F525" s="16">
        <v>11.319000000000001</v>
      </c>
      <c r="G525" s="29">
        <f t="shared" si="59"/>
        <v>15.518737739463592</v>
      </c>
      <c r="H525" s="17">
        <f t="shared" si="60"/>
        <v>18.188893048271389</v>
      </c>
      <c r="I525" s="17">
        <f t="shared" si="61"/>
        <v>12.848582430655794</v>
      </c>
      <c r="J525" s="17">
        <f t="shared" si="62"/>
        <v>20.859048357079189</v>
      </c>
      <c r="K525" s="17">
        <f t="shared" si="63"/>
        <v>10.178427121847996</v>
      </c>
      <c r="L525" s="17">
        <f t="shared" si="64"/>
        <v>-2.2830274026964448</v>
      </c>
      <c r="M525" s="11">
        <f t="shared" si="65"/>
        <v>-0.18857964624631862</v>
      </c>
    </row>
    <row r="526" spans="1:13" x14ac:dyDescent="0.2">
      <c r="A526" s="6">
        <v>46297</v>
      </c>
      <c r="B526" s="16">
        <v>9.1676000000000002</v>
      </c>
      <c r="C526" s="16">
        <v>11.435700000000001</v>
      </c>
      <c r="D526" s="16">
        <v>11.8832</v>
      </c>
      <c r="E526" s="16">
        <v>20.2623</v>
      </c>
      <c r="F526" s="16">
        <v>11.081799999999999</v>
      </c>
      <c r="G526" s="29">
        <f t="shared" si="59"/>
        <v>15.518737739463592</v>
      </c>
      <c r="H526" s="17">
        <f t="shared" si="60"/>
        <v>18.188893048271389</v>
      </c>
      <c r="I526" s="17">
        <f t="shared" si="61"/>
        <v>12.848582430655794</v>
      </c>
      <c r="J526" s="17">
        <f t="shared" si="62"/>
        <v>20.859048357079189</v>
      </c>
      <c r="K526" s="17">
        <f t="shared" si="63"/>
        <v>10.178427121847996</v>
      </c>
      <c r="L526" s="17">
        <f t="shared" si="64"/>
        <v>-2.3785649166225169</v>
      </c>
      <c r="M526" s="11">
        <f t="shared" si="65"/>
        <v>-0.19833503851972334</v>
      </c>
    </row>
    <row r="527" spans="1:13" x14ac:dyDescent="0.2">
      <c r="A527" s="6">
        <v>46304</v>
      </c>
      <c r="B527" s="16">
        <v>9.2078000000000007</v>
      </c>
      <c r="C527" s="16">
        <v>11.392799999999999</v>
      </c>
      <c r="D527" s="16">
        <v>11.758100000000001</v>
      </c>
      <c r="E527" s="16">
        <v>20.1434</v>
      </c>
      <c r="F527" s="16">
        <v>11.200799999999999</v>
      </c>
      <c r="G527" s="29">
        <f t="shared" si="59"/>
        <v>15.518737739463592</v>
      </c>
      <c r="H527" s="17">
        <f t="shared" si="60"/>
        <v>18.188893048271389</v>
      </c>
      <c r="I527" s="17">
        <f t="shared" si="61"/>
        <v>12.848582430655794</v>
      </c>
      <c r="J527" s="17">
        <f t="shared" si="62"/>
        <v>20.859048357079189</v>
      </c>
      <c r="K527" s="17">
        <f t="shared" si="63"/>
        <v>10.178427121847996</v>
      </c>
      <c r="L527" s="17">
        <f t="shared" si="64"/>
        <v>-2.3635096125855584</v>
      </c>
      <c r="M527" s="11">
        <f t="shared" si="65"/>
        <v>-0.19178779580085659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9"/>
  <sheetViews>
    <sheetView workbookViewId="0"/>
  </sheetViews>
  <sheetFormatPr baseColWidth="10" defaultColWidth="8.83203125" defaultRowHeight="15" x14ac:dyDescent="0.2"/>
  <cols>
    <col min="1" max="4" width="11" customWidth="1"/>
    <col min="5" max="5" width="10" customWidth="1"/>
    <col min="6" max="6" width="3" customWidth="1"/>
    <col min="7" max="7" width="30" customWidth="1"/>
    <col min="8" max="8" width="10" customWidth="1"/>
  </cols>
  <sheetData>
    <row r="1" spans="1:8" ht="16" x14ac:dyDescent="0.2">
      <c r="A1" s="1" t="s">
        <v>213</v>
      </c>
    </row>
    <row r="2" spans="1:8" x14ac:dyDescent="0.2">
      <c r="A2" s="4" t="s">
        <v>214</v>
      </c>
    </row>
    <row r="4" spans="1:8" ht="28" x14ac:dyDescent="0.2">
      <c r="A4" s="5" t="s">
        <v>22</v>
      </c>
      <c r="B4" s="5" t="s">
        <v>215</v>
      </c>
      <c r="C4" s="5" t="s">
        <v>216</v>
      </c>
      <c r="D4" s="5" t="s">
        <v>217</v>
      </c>
      <c r="E4" s="5" t="s">
        <v>218</v>
      </c>
    </row>
    <row r="5" spans="1:8" x14ac:dyDescent="0.2">
      <c r="A5" s="6">
        <v>46021</v>
      </c>
      <c r="B5" s="30">
        <v>6.0860000000000003</v>
      </c>
      <c r="C5" s="16">
        <v>4.1399999999999997</v>
      </c>
      <c r="D5" s="31">
        <f t="shared" ref="D5:D36" si="0">IF(AND(ISNUMBER(B5),ISNUMBER(C5)),(B5-C5)*100,"")</f>
        <v>194.60000000000005</v>
      </c>
      <c r="E5" s="7">
        <v>16769</v>
      </c>
      <c r="G5" s="2" t="s">
        <v>219</v>
      </c>
      <c r="H5" s="28">
        <f>(B188-B118)*100</f>
        <v>5.0999999999999268</v>
      </c>
    </row>
    <row r="6" spans="1:8" x14ac:dyDescent="0.2">
      <c r="A6" s="6">
        <v>46022</v>
      </c>
      <c r="C6" s="16">
        <v>4.18</v>
      </c>
      <c r="D6" s="31" t="str">
        <f t="shared" si="0"/>
        <v/>
      </c>
      <c r="E6" s="7">
        <v>16690</v>
      </c>
      <c r="G6" s="2" t="s">
        <v>220</v>
      </c>
      <c r="H6" s="28">
        <f>(C188-C118)*100</f>
        <v>77.999999999999943</v>
      </c>
    </row>
    <row r="7" spans="1:8" x14ac:dyDescent="0.2">
      <c r="A7" s="6">
        <v>46024</v>
      </c>
      <c r="B7" s="30">
        <v>6.0460000000000003</v>
      </c>
      <c r="C7" s="16">
        <v>4.1900000000000004</v>
      </c>
      <c r="D7" s="31">
        <f t="shared" si="0"/>
        <v>185.6</v>
      </c>
      <c r="E7" s="7">
        <v>16725</v>
      </c>
      <c r="G7" s="2" t="s">
        <v>221</v>
      </c>
      <c r="H7" s="28">
        <f>(B188-B185)*100</f>
        <v>2.0999999999999908</v>
      </c>
    </row>
    <row r="8" spans="1:8" x14ac:dyDescent="0.2">
      <c r="A8" s="6">
        <v>46027</v>
      </c>
      <c r="B8" s="30">
        <v>6.09</v>
      </c>
      <c r="C8" s="16">
        <v>4.17</v>
      </c>
      <c r="D8" s="31">
        <f t="shared" si="0"/>
        <v>192</v>
      </c>
      <c r="E8" s="7">
        <v>16740</v>
      </c>
      <c r="G8" s="2" t="s">
        <v>222</v>
      </c>
      <c r="H8" s="28">
        <f>(C188-C185)*100</f>
        <v>-8.9999999999999858</v>
      </c>
    </row>
    <row r="9" spans="1:8" x14ac:dyDescent="0.2">
      <c r="A9" s="6">
        <v>46028</v>
      </c>
      <c r="B9" s="30">
        <v>6.0970000000000004</v>
      </c>
      <c r="C9" s="16">
        <v>4.18</v>
      </c>
      <c r="D9" s="31">
        <f t="shared" si="0"/>
        <v>191.70000000000007</v>
      </c>
      <c r="E9" s="7">
        <v>16750</v>
      </c>
      <c r="G9" s="2" t="s">
        <v>223</v>
      </c>
      <c r="H9" s="20">
        <f>D118</f>
        <v>271.8</v>
      </c>
    </row>
    <row r="10" spans="1:8" x14ac:dyDescent="0.2">
      <c r="A10" s="6">
        <v>46029</v>
      </c>
      <c r="B10" s="30">
        <v>6.1029999999999998</v>
      </c>
      <c r="C10" s="16">
        <v>4.1500000000000004</v>
      </c>
      <c r="D10" s="31">
        <f t="shared" si="0"/>
        <v>195.29999999999995</v>
      </c>
      <c r="E10" s="7">
        <v>16775</v>
      </c>
      <c r="G10" s="2" t="s">
        <v>224</v>
      </c>
      <c r="H10" s="20">
        <f>D188</f>
        <v>198.89999999999998</v>
      </c>
    </row>
    <row r="11" spans="1:8" x14ac:dyDescent="0.2">
      <c r="A11" s="6">
        <v>46030</v>
      </c>
      <c r="B11" s="30">
        <v>6.1269999999999998</v>
      </c>
      <c r="C11" s="16">
        <v>4.1900000000000004</v>
      </c>
      <c r="D11" s="31">
        <f t="shared" si="0"/>
        <v>193.69999999999993</v>
      </c>
      <c r="E11" s="7">
        <v>16793</v>
      </c>
      <c r="G11" s="2" t="s">
        <v>225</v>
      </c>
      <c r="H11" s="12">
        <f>E185</f>
        <v>17907</v>
      </c>
    </row>
    <row r="12" spans="1:8" x14ac:dyDescent="0.2">
      <c r="A12" s="6">
        <v>46031</v>
      </c>
      <c r="B12" s="30">
        <v>6.133</v>
      </c>
      <c r="C12" s="16">
        <v>4.18</v>
      </c>
      <c r="D12" s="31">
        <f t="shared" si="0"/>
        <v>195.30000000000004</v>
      </c>
      <c r="E12" s="7">
        <v>16805</v>
      </c>
      <c r="G12" s="2" t="s">
        <v>226</v>
      </c>
      <c r="H12" s="12">
        <f>E189</f>
        <v>17883</v>
      </c>
    </row>
    <row r="13" spans="1:8" x14ac:dyDescent="0.2">
      <c r="A13" s="6">
        <v>46034</v>
      </c>
      <c r="B13" s="30">
        <v>6.1820000000000004</v>
      </c>
      <c r="C13" s="16">
        <v>4.1900000000000004</v>
      </c>
      <c r="D13" s="31">
        <f t="shared" si="0"/>
        <v>199.2</v>
      </c>
      <c r="E13" s="7">
        <v>16833</v>
      </c>
      <c r="G13" s="2" t="s">
        <v>227</v>
      </c>
      <c r="H13" s="13">
        <f>E185/E189-1</f>
        <v>1.3420567018955776E-3</v>
      </c>
    </row>
    <row r="14" spans="1:8" x14ac:dyDescent="0.2">
      <c r="A14" s="6">
        <v>46035</v>
      </c>
      <c r="B14" s="30">
        <v>6.1970000000000001</v>
      </c>
      <c r="C14" s="16">
        <v>4.18</v>
      </c>
      <c r="D14" s="31">
        <f t="shared" si="0"/>
        <v>201.70000000000005</v>
      </c>
      <c r="E14" s="7">
        <v>16865</v>
      </c>
    </row>
    <row r="15" spans="1:8" x14ac:dyDescent="0.2">
      <c r="A15" s="6">
        <v>46036</v>
      </c>
      <c r="B15" s="30">
        <v>6.2389999999999999</v>
      </c>
      <c r="C15" s="16">
        <v>4.1500000000000004</v>
      </c>
      <c r="D15" s="31">
        <f t="shared" si="0"/>
        <v>208.89999999999995</v>
      </c>
      <c r="E15" s="7">
        <v>16860</v>
      </c>
    </row>
    <row r="16" spans="1:8" x14ac:dyDescent="0.2">
      <c r="A16" s="6">
        <v>46037</v>
      </c>
      <c r="B16" s="30">
        <v>6.2489999999999997</v>
      </c>
      <c r="C16" s="16">
        <v>4.17</v>
      </c>
      <c r="D16" s="31">
        <f t="shared" si="0"/>
        <v>207.89999999999998</v>
      </c>
      <c r="E16" s="7">
        <v>16885</v>
      </c>
    </row>
    <row r="17" spans="1:5" x14ac:dyDescent="0.2">
      <c r="A17" s="6">
        <v>46041</v>
      </c>
      <c r="B17" s="30">
        <v>6.2949999999999999</v>
      </c>
      <c r="D17" s="31" t="str">
        <f t="shared" si="0"/>
        <v/>
      </c>
      <c r="E17" s="7">
        <v>16942</v>
      </c>
    </row>
    <row r="18" spans="1:5" x14ac:dyDescent="0.2">
      <c r="A18" s="6">
        <v>46042</v>
      </c>
      <c r="B18" s="30">
        <v>6.3209999999999997</v>
      </c>
      <c r="C18" s="16">
        <v>4.3</v>
      </c>
      <c r="D18" s="31">
        <f t="shared" si="0"/>
        <v>202.1</v>
      </c>
      <c r="E18" s="7">
        <v>16950</v>
      </c>
    </row>
    <row r="19" spans="1:5" x14ac:dyDescent="0.2">
      <c r="A19" s="6">
        <v>46043</v>
      </c>
      <c r="B19" s="30">
        <v>6.3330000000000002</v>
      </c>
      <c r="C19" s="16">
        <v>4.26</v>
      </c>
      <c r="D19" s="31">
        <f t="shared" si="0"/>
        <v>207.30000000000004</v>
      </c>
      <c r="E19" s="7">
        <v>16935</v>
      </c>
    </row>
    <row r="20" spans="1:5" x14ac:dyDescent="0.2">
      <c r="A20" s="6">
        <v>46044</v>
      </c>
      <c r="B20" s="30">
        <v>6.343</v>
      </c>
      <c r="C20" s="16">
        <v>4.26</v>
      </c>
      <c r="D20" s="31">
        <f t="shared" si="0"/>
        <v>208.3</v>
      </c>
      <c r="E20" s="7">
        <v>16885</v>
      </c>
    </row>
    <row r="21" spans="1:5" x14ac:dyDescent="0.2">
      <c r="A21" s="6">
        <v>46045</v>
      </c>
      <c r="B21" s="30">
        <v>6.3970000000000002</v>
      </c>
      <c r="C21" s="16">
        <v>4.24</v>
      </c>
      <c r="D21" s="31">
        <f t="shared" si="0"/>
        <v>215.7</v>
      </c>
      <c r="E21" s="7">
        <v>16822</v>
      </c>
    </row>
    <row r="22" spans="1:5" x14ac:dyDescent="0.2">
      <c r="A22" s="6">
        <v>46048</v>
      </c>
      <c r="B22" s="30">
        <v>6.3689999999999998</v>
      </c>
      <c r="C22" s="16">
        <v>4.22</v>
      </c>
      <c r="D22" s="31">
        <f t="shared" si="0"/>
        <v>214.9</v>
      </c>
      <c r="E22" s="7">
        <v>16780</v>
      </c>
    </row>
    <row r="23" spans="1:5" x14ac:dyDescent="0.2">
      <c r="A23" s="6">
        <v>46049</v>
      </c>
      <c r="B23" s="30">
        <v>6.359</v>
      </c>
      <c r="C23" s="16">
        <v>4.24</v>
      </c>
      <c r="D23" s="31">
        <f t="shared" si="0"/>
        <v>211.89999999999998</v>
      </c>
      <c r="E23" s="7">
        <v>16766</v>
      </c>
    </row>
    <row r="24" spans="1:5" x14ac:dyDescent="0.2">
      <c r="A24" s="6">
        <v>46050</v>
      </c>
      <c r="B24" s="30">
        <v>6.3639999999999999</v>
      </c>
      <c r="C24" s="16">
        <v>4.26</v>
      </c>
      <c r="D24" s="31">
        <f t="shared" si="0"/>
        <v>210.4</v>
      </c>
      <c r="E24" s="7">
        <v>16706</v>
      </c>
    </row>
    <row r="25" spans="1:5" x14ac:dyDescent="0.2">
      <c r="A25" s="6">
        <v>46051</v>
      </c>
      <c r="B25" s="30">
        <v>6.37</v>
      </c>
      <c r="C25" s="16">
        <v>4.24</v>
      </c>
      <c r="D25" s="31">
        <f t="shared" si="0"/>
        <v>213</v>
      </c>
      <c r="E25" s="7">
        <v>16750</v>
      </c>
    </row>
    <row r="26" spans="1:5" x14ac:dyDescent="0.2">
      <c r="A26" s="6">
        <v>46052</v>
      </c>
      <c r="B26" s="30">
        <v>6.3339999999999996</v>
      </c>
      <c r="C26" s="16">
        <v>4.26</v>
      </c>
      <c r="D26" s="31">
        <f t="shared" si="0"/>
        <v>207.39999999999998</v>
      </c>
      <c r="E26" s="7">
        <v>16785</v>
      </c>
    </row>
    <row r="27" spans="1:5" x14ac:dyDescent="0.2">
      <c r="A27" s="6">
        <v>46055</v>
      </c>
      <c r="B27" s="30">
        <v>6.3250000000000002</v>
      </c>
      <c r="C27" s="16">
        <v>4.29</v>
      </c>
      <c r="D27" s="31">
        <f t="shared" si="0"/>
        <v>203.5</v>
      </c>
      <c r="E27" s="7">
        <v>16790</v>
      </c>
    </row>
    <row r="28" spans="1:5" x14ac:dyDescent="0.2">
      <c r="A28" s="6">
        <v>46056</v>
      </c>
      <c r="B28" s="30">
        <v>6.33</v>
      </c>
      <c r="C28" s="16">
        <v>4.28</v>
      </c>
      <c r="D28" s="31">
        <f t="shared" si="0"/>
        <v>204.99999999999997</v>
      </c>
      <c r="E28" s="7">
        <v>16760</v>
      </c>
    </row>
    <row r="29" spans="1:5" x14ac:dyDescent="0.2">
      <c r="A29" s="6">
        <v>46057</v>
      </c>
      <c r="B29" s="30">
        <v>6.31</v>
      </c>
      <c r="C29" s="16">
        <v>4.29</v>
      </c>
      <c r="D29" s="31">
        <f t="shared" si="0"/>
        <v>201.99999999999994</v>
      </c>
      <c r="E29" s="7">
        <v>16775</v>
      </c>
    </row>
    <row r="30" spans="1:5" x14ac:dyDescent="0.2">
      <c r="A30" s="6">
        <v>46058</v>
      </c>
      <c r="B30" s="30">
        <v>6.3259999999999996</v>
      </c>
      <c r="C30" s="16">
        <v>4.21</v>
      </c>
      <c r="D30" s="31">
        <f t="shared" si="0"/>
        <v>211.59999999999997</v>
      </c>
      <c r="E30" s="7">
        <v>16830</v>
      </c>
    </row>
    <row r="31" spans="1:5" x14ac:dyDescent="0.2">
      <c r="A31" s="6">
        <v>46059</v>
      </c>
      <c r="B31" s="30">
        <v>6.4390000000000001</v>
      </c>
      <c r="C31" s="16">
        <v>4.22</v>
      </c>
      <c r="D31" s="31">
        <f t="shared" si="0"/>
        <v>221.90000000000003</v>
      </c>
      <c r="E31" s="7">
        <v>16866</v>
      </c>
    </row>
    <row r="32" spans="1:5" x14ac:dyDescent="0.2">
      <c r="A32" s="6">
        <v>46062</v>
      </c>
      <c r="B32" s="30">
        <v>6.47</v>
      </c>
      <c r="C32" s="16">
        <v>4.22</v>
      </c>
      <c r="D32" s="31">
        <f t="shared" si="0"/>
        <v>225</v>
      </c>
      <c r="E32" s="7">
        <v>16803</v>
      </c>
    </row>
    <row r="33" spans="1:5" x14ac:dyDescent="0.2">
      <c r="A33" s="6">
        <v>46063</v>
      </c>
      <c r="B33" s="30">
        <v>6.45</v>
      </c>
      <c r="C33" s="16">
        <v>4.16</v>
      </c>
      <c r="D33" s="31">
        <f t="shared" si="0"/>
        <v>229</v>
      </c>
      <c r="E33" s="7">
        <v>16800</v>
      </c>
    </row>
    <row r="34" spans="1:5" x14ac:dyDescent="0.2">
      <c r="A34" s="6">
        <v>46064</v>
      </c>
      <c r="B34" s="30">
        <v>6.4329999999999998</v>
      </c>
      <c r="C34" s="16">
        <v>4.18</v>
      </c>
      <c r="D34" s="31">
        <f t="shared" si="0"/>
        <v>225.3</v>
      </c>
      <c r="E34" s="7">
        <v>16783</v>
      </c>
    </row>
    <row r="35" spans="1:5" x14ac:dyDescent="0.2">
      <c r="A35" s="6">
        <v>46065</v>
      </c>
      <c r="B35" s="30">
        <v>6.4210000000000003</v>
      </c>
      <c r="C35" s="16">
        <v>4.09</v>
      </c>
      <c r="D35" s="31">
        <f t="shared" si="0"/>
        <v>233.10000000000005</v>
      </c>
      <c r="E35" s="7">
        <v>16818</v>
      </c>
    </row>
    <row r="36" spans="1:5" x14ac:dyDescent="0.2">
      <c r="A36" s="6">
        <v>46066</v>
      </c>
      <c r="B36" s="30">
        <v>6.4020000000000001</v>
      </c>
      <c r="C36" s="16">
        <v>4.04</v>
      </c>
      <c r="D36" s="31">
        <f t="shared" si="0"/>
        <v>236.20000000000002</v>
      </c>
      <c r="E36" s="7">
        <v>16839</v>
      </c>
    </row>
    <row r="37" spans="1:5" x14ac:dyDescent="0.2">
      <c r="A37" s="6">
        <v>46071</v>
      </c>
      <c r="C37" s="16">
        <v>4.09</v>
      </c>
      <c r="D37" s="31" t="str">
        <f t="shared" ref="D37:D68" si="1">IF(AND(ISNUMBER(B37),ISNUMBER(C37)),(B37-C37)*100,"")</f>
        <v/>
      </c>
      <c r="E37" s="7">
        <v>16884</v>
      </c>
    </row>
    <row r="38" spans="1:5" x14ac:dyDescent="0.2">
      <c r="A38" s="6">
        <v>46072</v>
      </c>
      <c r="B38" s="30">
        <v>6.4569999999999999</v>
      </c>
      <c r="C38" s="16">
        <v>4.08</v>
      </c>
      <c r="D38" s="31">
        <f t="shared" si="1"/>
        <v>237.7</v>
      </c>
      <c r="E38" s="7">
        <v>16880</v>
      </c>
    </row>
    <row r="39" spans="1:5" x14ac:dyDescent="0.2">
      <c r="A39" s="6">
        <v>46073</v>
      </c>
      <c r="B39" s="30">
        <v>6.4640000000000004</v>
      </c>
      <c r="C39" s="16">
        <v>4.08</v>
      </c>
      <c r="D39" s="31">
        <f t="shared" si="1"/>
        <v>238.40000000000003</v>
      </c>
      <c r="E39" s="7">
        <v>16873</v>
      </c>
    </row>
    <row r="40" spans="1:5" x14ac:dyDescent="0.2">
      <c r="A40" s="6">
        <v>46076</v>
      </c>
      <c r="B40" s="30">
        <v>6.4530000000000003</v>
      </c>
      <c r="C40" s="16">
        <v>4.03</v>
      </c>
      <c r="D40" s="31">
        <f t="shared" si="1"/>
        <v>242.3</v>
      </c>
      <c r="E40" s="7">
        <v>16794</v>
      </c>
    </row>
    <row r="41" spans="1:5" x14ac:dyDescent="0.2">
      <c r="A41" s="6">
        <v>46077</v>
      </c>
      <c r="B41" s="30">
        <v>6.4489999999999998</v>
      </c>
      <c r="C41" s="16">
        <v>4.04</v>
      </c>
      <c r="D41" s="31">
        <f t="shared" si="1"/>
        <v>240.89999999999998</v>
      </c>
      <c r="E41" s="7">
        <v>16823</v>
      </c>
    </row>
    <row r="42" spans="1:5" x14ac:dyDescent="0.2">
      <c r="A42" s="6">
        <v>46078</v>
      </c>
      <c r="B42" s="30">
        <v>6.431</v>
      </c>
      <c r="C42" s="16">
        <v>4.05</v>
      </c>
      <c r="D42" s="31">
        <f t="shared" si="1"/>
        <v>238.10000000000002</v>
      </c>
      <c r="E42" s="7">
        <v>16785</v>
      </c>
    </row>
    <row r="43" spans="1:5" x14ac:dyDescent="0.2">
      <c r="A43" s="6">
        <v>46079</v>
      </c>
      <c r="B43" s="30">
        <v>6.42</v>
      </c>
      <c r="C43" s="16">
        <v>4.0199999999999996</v>
      </c>
      <c r="D43" s="31">
        <f t="shared" si="1"/>
        <v>240.00000000000003</v>
      </c>
      <c r="E43" s="7">
        <v>16755</v>
      </c>
    </row>
    <row r="44" spans="1:5" x14ac:dyDescent="0.2">
      <c r="A44" s="6">
        <v>46080</v>
      </c>
      <c r="B44" s="30">
        <v>6.4269999999999996</v>
      </c>
      <c r="C44" s="16">
        <v>3.97</v>
      </c>
      <c r="D44" s="31">
        <f t="shared" si="1"/>
        <v>245.69999999999993</v>
      </c>
      <c r="E44" s="7">
        <v>16771</v>
      </c>
    </row>
    <row r="45" spans="1:5" x14ac:dyDescent="0.2">
      <c r="A45" s="6">
        <v>46083</v>
      </c>
      <c r="B45" s="30">
        <v>6.4619999999999997</v>
      </c>
      <c r="C45" s="16">
        <v>4.05</v>
      </c>
      <c r="D45" s="31">
        <f t="shared" si="1"/>
        <v>241.2</v>
      </c>
      <c r="E45" s="7">
        <v>16861</v>
      </c>
    </row>
    <row r="46" spans="1:5" x14ac:dyDescent="0.2">
      <c r="A46" s="6">
        <v>46084</v>
      </c>
      <c r="B46" s="30">
        <v>6.5380000000000003</v>
      </c>
      <c r="C46" s="16">
        <v>4.0599999999999996</v>
      </c>
      <c r="D46" s="31">
        <f t="shared" si="1"/>
        <v>247.80000000000007</v>
      </c>
      <c r="E46" s="7">
        <v>16857</v>
      </c>
    </row>
    <row r="47" spans="1:5" x14ac:dyDescent="0.2">
      <c r="A47" s="6">
        <v>46085</v>
      </c>
      <c r="B47" s="30">
        <v>6.6139999999999999</v>
      </c>
      <c r="C47" s="16">
        <v>4.09</v>
      </c>
      <c r="D47" s="31">
        <f t="shared" si="1"/>
        <v>252.4</v>
      </c>
      <c r="E47" s="7">
        <v>16885</v>
      </c>
    </row>
    <row r="48" spans="1:5" x14ac:dyDescent="0.2">
      <c r="A48" s="6">
        <v>46086</v>
      </c>
      <c r="B48" s="30">
        <v>6.5960000000000001</v>
      </c>
      <c r="C48" s="16">
        <v>4.13</v>
      </c>
      <c r="D48" s="31">
        <f t="shared" si="1"/>
        <v>246.60000000000002</v>
      </c>
      <c r="E48" s="7">
        <v>16883</v>
      </c>
    </row>
    <row r="49" spans="1:5" x14ac:dyDescent="0.2">
      <c r="A49" s="6">
        <v>46087</v>
      </c>
      <c r="B49" s="30">
        <v>6.609</v>
      </c>
      <c r="C49" s="16">
        <v>4.1500000000000004</v>
      </c>
      <c r="D49" s="31">
        <f t="shared" si="1"/>
        <v>245.89999999999998</v>
      </c>
      <c r="E49" s="7">
        <v>16906</v>
      </c>
    </row>
    <row r="50" spans="1:5" x14ac:dyDescent="0.2">
      <c r="A50" s="6">
        <v>46090</v>
      </c>
      <c r="B50" s="30">
        <v>6.7560000000000002</v>
      </c>
      <c r="C50" s="16">
        <v>4.12</v>
      </c>
      <c r="D50" s="31">
        <f t="shared" si="1"/>
        <v>263.60000000000002</v>
      </c>
      <c r="E50" s="7">
        <v>16945</v>
      </c>
    </row>
    <row r="51" spans="1:5" x14ac:dyDescent="0.2">
      <c r="A51" s="6">
        <v>46091</v>
      </c>
      <c r="B51" s="30">
        <v>6.7060000000000004</v>
      </c>
      <c r="C51" s="16">
        <v>4.1500000000000004</v>
      </c>
      <c r="D51" s="31">
        <f t="shared" si="1"/>
        <v>255.6</v>
      </c>
      <c r="E51" s="7">
        <v>16861</v>
      </c>
    </row>
    <row r="52" spans="1:5" x14ac:dyDescent="0.2">
      <c r="A52" s="6">
        <v>46092</v>
      </c>
      <c r="B52" s="30">
        <v>6.7089999999999996</v>
      </c>
      <c r="C52" s="16">
        <v>4.21</v>
      </c>
      <c r="D52" s="31">
        <f t="shared" si="1"/>
        <v>249.89999999999998</v>
      </c>
      <c r="E52" s="7">
        <v>16870</v>
      </c>
    </row>
    <row r="53" spans="1:5" x14ac:dyDescent="0.2">
      <c r="A53" s="6">
        <v>46093</v>
      </c>
      <c r="B53" s="30">
        <v>6.7229999999999999</v>
      </c>
      <c r="C53" s="16">
        <v>4.2699999999999996</v>
      </c>
      <c r="D53" s="31">
        <f t="shared" si="1"/>
        <v>245.30000000000004</v>
      </c>
      <c r="E53" s="7">
        <v>16893</v>
      </c>
    </row>
    <row r="54" spans="1:5" x14ac:dyDescent="0.2">
      <c r="A54" s="6">
        <v>46094</v>
      </c>
      <c r="B54" s="30">
        <v>6.7969999999999997</v>
      </c>
      <c r="C54" s="16">
        <v>4.28</v>
      </c>
      <c r="D54" s="31">
        <f t="shared" si="1"/>
        <v>251.69999999999993</v>
      </c>
      <c r="E54" s="7">
        <v>16944</v>
      </c>
    </row>
    <row r="55" spans="1:5" x14ac:dyDescent="0.2">
      <c r="A55" s="6">
        <v>46097</v>
      </c>
      <c r="B55" s="30">
        <v>6.9130000000000003</v>
      </c>
      <c r="C55" s="16">
        <v>4.2300000000000004</v>
      </c>
      <c r="D55" s="31">
        <f t="shared" si="1"/>
        <v>268.29999999999995</v>
      </c>
      <c r="E55" s="7">
        <v>16990</v>
      </c>
    </row>
    <row r="56" spans="1:5" x14ac:dyDescent="0.2">
      <c r="A56" s="6">
        <v>46098</v>
      </c>
      <c r="B56" s="30">
        <v>6.8940000000000001</v>
      </c>
      <c r="C56" s="16">
        <v>4.2</v>
      </c>
      <c r="D56" s="31">
        <f t="shared" si="1"/>
        <v>269.39999999999998</v>
      </c>
      <c r="E56" s="7">
        <v>16985</v>
      </c>
    </row>
    <row r="57" spans="1:5" x14ac:dyDescent="0.2">
      <c r="A57" s="6">
        <v>46106</v>
      </c>
      <c r="B57" s="30">
        <v>6.9329999999999998</v>
      </c>
      <c r="C57" s="16">
        <v>4.33</v>
      </c>
      <c r="D57" s="31">
        <f t="shared" si="1"/>
        <v>260.29999999999995</v>
      </c>
      <c r="E57" s="7">
        <v>16910</v>
      </c>
    </row>
    <row r="58" spans="1:5" x14ac:dyDescent="0.2">
      <c r="A58" s="6">
        <v>46107</v>
      </c>
      <c r="B58" s="30">
        <v>6.8579999999999997</v>
      </c>
      <c r="C58" s="16">
        <v>4.42</v>
      </c>
      <c r="D58" s="31">
        <f t="shared" si="1"/>
        <v>243.79999999999998</v>
      </c>
      <c r="E58" s="7">
        <v>16904</v>
      </c>
    </row>
    <row r="59" spans="1:5" x14ac:dyDescent="0.2">
      <c r="A59" s="6">
        <v>46108</v>
      </c>
      <c r="B59" s="30">
        <v>6.8579999999999997</v>
      </c>
      <c r="C59" s="16">
        <v>4.4400000000000004</v>
      </c>
      <c r="D59" s="31">
        <f t="shared" si="1"/>
        <v>241.79999999999993</v>
      </c>
      <c r="E59" s="7">
        <v>16965</v>
      </c>
    </row>
    <row r="60" spans="1:5" x14ac:dyDescent="0.2">
      <c r="A60" s="6">
        <v>46111</v>
      </c>
      <c r="B60" s="30">
        <v>6.8540000000000001</v>
      </c>
      <c r="C60" s="16">
        <v>4.3499999999999996</v>
      </c>
      <c r="D60" s="31">
        <f t="shared" si="1"/>
        <v>250.40000000000003</v>
      </c>
      <c r="E60" s="7">
        <v>16992</v>
      </c>
    </row>
    <row r="61" spans="1:5" x14ac:dyDescent="0.2">
      <c r="A61" s="6">
        <v>46112</v>
      </c>
      <c r="B61" s="30">
        <v>6.8550000000000004</v>
      </c>
      <c r="C61" s="16">
        <v>4.3</v>
      </c>
      <c r="D61" s="31">
        <f t="shared" si="1"/>
        <v>255.50000000000006</v>
      </c>
      <c r="E61" s="7">
        <v>16995</v>
      </c>
    </row>
    <row r="62" spans="1:5" x14ac:dyDescent="0.2">
      <c r="A62" s="6">
        <v>46113</v>
      </c>
      <c r="B62" s="30">
        <v>6.6849999999999996</v>
      </c>
      <c r="C62" s="16">
        <v>4.33</v>
      </c>
      <c r="D62" s="31">
        <f t="shared" si="1"/>
        <v>235.49999999999994</v>
      </c>
      <c r="E62" s="7">
        <v>16980</v>
      </c>
    </row>
    <row r="63" spans="1:5" x14ac:dyDescent="0.2">
      <c r="A63" s="6">
        <v>46114</v>
      </c>
      <c r="B63" s="30">
        <v>6.6479999999999997</v>
      </c>
      <c r="C63" s="16">
        <v>4.3099999999999996</v>
      </c>
      <c r="D63" s="31">
        <f t="shared" si="1"/>
        <v>233.8</v>
      </c>
      <c r="E63" s="7">
        <v>17000</v>
      </c>
    </row>
    <row r="64" spans="1:5" x14ac:dyDescent="0.2">
      <c r="A64" s="6">
        <v>46118</v>
      </c>
      <c r="B64" s="30">
        <v>6.6520000000000001</v>
      </c>
      <c r="C64" s="16">
        <v>4.34</v>
      </c>
      <c r="D64" s="31">
        <f t="shared" si="1"/>
        <v>231.20000000000002</v>
      </c>
      <c r="E64" s="7">
        <v>17038</v>
      </c>
    </row>
    <row r="65" spans="1:5" x14ac:dyDescent="0.2">
      <c r="A65" s="6">
        <v>46119</v>
      </c>
      <c r="B65" s="30">
        <v>6.6879999999999997</v>
      </c>
      <c r="C65" s="16">
        <v>4.33</v>
      </c>
      <c r="D65" s="31">
        <f t="shared" si="1"/>
        <v>235.79999999999995</v>
      </c>
      <c r="E65" s="7">
        <v>17095</v>
      </c>
    </row>
    <row r="66" spans="1:5" x14ac:dyDescent="0.2">
      <c r="A66" s="6">
        <v>46120</v>
      </c>
      <c r="B66" s="30">
        <v>6.6040000000000001</v>
      </c>
      <c r="C66" s="16">
        <v>4.29</v>
      </c>
      <c r="D66" s="31">
        <f t="shared" si="1"/>
        <v>231.4</v>
      </c>
      <c r="E66" s="7">
        <v>17010</v>
      </c>
    </row>
    <row r="67" spans="1:5" x14ac:dyDescent="0.2">
      <c r="A67" s="6">
        <v>46121</v>
      </c>
      <c r="B67" s="30">
        <v>6.6180000000000003</v>
      </c>
      <c r="C67" s="16">
        <v>4.29</v>
      </c>
      <c r="D67" s="31">
        <f t="shared" si="1"/>
        <v>232.80000000000004</v>
      </c>
      <c r="E67" s="7">
        <v>17085</v>
      </c>
    </row>
    <row r="68" spans="1:5" x14ac:dyDescent="0.2">
      <c r="A68" s="6">
        <v>46122</v>
      </c>
      <c r="B68" s="30">
        <v>6.569</v>
      </c>
      <c r="C68" s="16">
        <v>4.3099999999999996</v>
      </c>
      <c r="D68" s="31">
        <f t="shared" si="1"/>
        <v>225.90000000000003</v>
      </c>
      <c r="E68" s="7">
        <v>17098</v>
      </c>
    </row>
    <row r="69" spans="1:5" x14ac:dyDescent="0.2">
      <c r="A69" s="6">
        <v>46125</v>
      </c>
      <c r="B69" s="30">
        <v>6.5949999999999998</v>
      </c>
      <c r="C69" s="16">
        <v>4.3</v>
      </c>
      <c r="D69" s="31">
        <f t="shared" ref="D69:D100" si="2">IF(AND(ISNUMBER(B69),ISNUMBER(C69)),(B69-C69)*100,"")</f>
        <v>229.5</v>
      </c>
      <c r="E69" s="7">
        <v>17103</v>
      </c>
    </row>
    <row r="70" spans="1:5" x14ac:dyDescent="0.2">
      <c r="A70" s="6">
        <v>46126</v>
      </c>
      <c r="B70" s="30">
        <v>6.6059999999999999</v>
      </c>
      <c r="C70" s="16">
        <v>4.26</v>
      </c>
      <c r="D70" s="31">
        <f t="shared" si="2"/>
        <v>234.60000000000002</v>
      </c>
      <c r="E70" s="7">
        <v>17122</v>
      </c>
    </row>
    <row r="71" spans="1:5" x14ac:dyDescent="0.2">
      <c r="A71" s="6">
        <v>46127</v>
      </c>
      <c r="B71" s="30">
        <v>6.5890000000000004</v>
      </c>
      <c r="C71" s="16">
        <v>4.29</v>
      </c>
      <c r="D71" s="31">
        <f t="shared" si="2"/>
        <v>229.90000000000003</v>
      </c>
      <c r="E71" s="7">
        <v>17140</v>
      </c>
    </row>
    <row r="72" spans="1:5" x14ac:dyDescent="0.2">
      <c r="A72" s="6">
        <v>46128</v>
      </c>
      <c r="B72" s="30">
        <v>6.5810000000000004</v>
      </c>
      <c r="C72" s="16">
        <v>4.32</v>
      </c>
      <c r="D72" s="31">
        <f t="shared" si="2"/>
        <v>226.10000000000002</v>
      </c>
      <c r="E72" s="7">
        <v>17136</v>
      </c>
    </row>
    <row r="73" spans="1:5" x14ac:dyDescent="0.2">
      <c r="A73" s="6">
        <v>46129</v>
      </c>
      <c r="B73" s="30">
        <v>6.5830000000000002</v>
      </c>
      <c r="C73" s="16">
        <v>4.26</v>
      </c>
      <c r="D73" s="31">
        <f t="shared" si="2"/>
        <v>232.30000000000004</v>
      </c>
      <c r="E73" s="7">
        <v>17190</v>
      </c>
    </row>
    <row r="74" spans="1:5" x14ac:dyDescent="0.2">
      <c r="A74" s="6">
        <v>46132</v>
      </c>
      <c r="B74" s="30">
        <v>6.5960000000000001</v>
      </c>
      <c r="C74" s="16">
        <v>4.26</v>
      </c>
      <c r="D74" s="31">
        <f t="shared" si="2"/>
        <v>233.60000000000002</v>
      </c>
      <c r="E74" s="7">
        <v>17170</v>
      </c>
    </row>
    <row r="75" spans="1:5" x14ac:dyDescent="0.2">
      <c r="A75" s="6">
        <v>46133</v>
      </c>
      <c r="B75" s="30">
        <v>6.5949999999999998</v>
      </c>
      <c r="C75" s="16">
        <v>4.3</v>
      </c>
      <c r="D75" s="31">
        <f t="shared" si="2"/>
        <v>229.5</v>
      </c>
      <c r="E75" s="7">
        <v>17144</v>
      </c>
    </row>
    <row r="76" spans="1:5" x14ac:dyDescent="0.2">
      <c r="A76" s="6">
        <v>46134</v>
      </c>
      <c r="B76" s="30">
        <v>6.6130000000000004</v>
      </c>
      <c r="C76" s="16">
        <v>4.3</v>
      </c>
      <c r="D76" s="31">
        <f t="shared" si="2"/>
        <v>231.30000000000007</v>
      </c>
      <c r="E76" s="7">
        <v>17175</v>
      </c>
    </row>
    <row r="77" spans="1:5" x14ac:dyDescent="0.2">
      <c r="A77" s="6">
        <v>46135</v>
      </c>
      <c r="B77" s="30">
        <v>6.7030000000000003</v>
      </c>
      <c r="C77" s="16">
        <v>4.34</v>
      </c>
      <c r="D77" s="31">
        <f t="shared" si="2"/>
        <v>236.30000000000004</v>
      </c>
      <c r="E77" s="7">
        <v>17295</v>
      </c>
    </row>
    <row r="78" spans="1:5" x14ac:dyDescent="0.2">
      <c r="A78" s="6">
        <v>46136</v>
      </c>
      <c r="B78" s="30">
        <v>6.7809999999999997</v>
      </c>
      <c r="C78" s="16">
        <v>4.3099999999999996</v>
      </c>
      <c r="D78" s="31">
        <f t="shared" si="2"/>
        <v>247.10000000000002</v>
      </c>
      <c r="E78" s="7">
        <v>17205</v>
      </c>
    </row>
    <row r="79" spans="1:5" x14ac:dyDescent="0.2">
      <c r="A79" s="6">
        <v>46139</v>
      </c>
      <c r="B79" s="30">
        <v>6.798</v>
      </c>
      <c r="C79" s="16">
        <v>4.3499999999999996</v>
      </c>
      <c r="D79" s="31">
        <f t="shared" si="2"/>
        <v>244.80000000000004</v>
      </c>
      <c r="E79" s="7">
        <v>17195</v>
      </c>
    </row>
    <row r="80" spans="1:5" x14ac:dyDescent="0.2">
      <c r="A80" s="6">
        <v>46140</v>
      </c>
      <c r="B80" s="30">
        <v>6.7939999999999996</v>
      </c>
      <c r="C80" s="16">
        <v>4.3600000000000003</v>
      </c>
      <c r="D80" s="31">
        <f t="shared" si="2"/>
        <v>243.39999999999992</v>
      </c>
      <c r="E80" s="7">
        <v>17225</v>
      </c>
    </row>
    <row r="81" spans="1:5" x14ac:dyDescent="0.2">
      <c r="A81" s="6">
        <v>46141</v>
      </c>
      <c r="B81" s="30">
        <v>6.8970000000000002</v>
      </c>
      <c r="C81" s="16">
        <v>4.42</v>
      </c>
      <c r="D81" s="31">
        <f t="shared" si="2"/>
        <v>247.70000000000005</v>
      </c>
      <c r="E81" s="7">
        <v>17290</v>
      </c>
    </row>
    <row r="82" spans="1:5" x14ac:dyDescent="0.2">
      <c r="A82" s="6">
        <v>46142</v>
      </c>
      <c r="B82" s="30">
        <v>6.8529999999999998</v>
      </c>
      <c r="C82" s="16">
        <v>4.4000000000000004</v>
      </c>
      <c r="D82" s="31">
        <f t="shared" si="2"/>
        <v>245.29999999999995</v>
      </c>
      <c r="E82" s="7">
        <v>17353</v>
      </c>
    </row>
    <row r="83" spans="1:5" x14ac:dyDescent="0.2">
      <c r="A83" s="6">
        <v>46146</v>
      </c>
      <c r="B83" s="30">
        <v>6.8</v>
      </c>
      <c r="C83" s="16">
        <v>4.45</v>
      </c>
      <c r="D83" s="31">
        <f t="shared" si="2"/>
        <v>234.99999999999997</v>
      </c>
      <c r="E83" s="7">
        <v>17380</v>
      </c>
    </row>
    <row r="84" spans="1:5" x14ac:dyDescent="0.2">
      <c r="A84" s="6">
        <v>46147</v>
      </c>
      <c r="B84" s="30">
        <v>6.8170000000000002</v>
      </c>
      <c r="C84" s="16">
        <v>4.43</v>
      </c>
      <c r="D84" s="31">
        <f t="shared" si="2"/>
        <v>238.70000000000005</v>
      </c>
      <c r="E84" s="7">
        <v>17425</v>
      </c>
    </row>
    <row r="85" spans="1:5" x14ac:dyDescent="0.2">
      <c r="A85" s="6">
        <v>46148</v>
      </c>
      <c r="B85" s="30">
        <v>6.7350000000000003</v>
      </c>
      <c r="C85" s="16">
        <v>4.3600000000000003</v>
      </c>
      <c r="D85" s="31">
        <f t="shared" si="2"/>
        <v>237.5</v>
      </c>
      <c r="E85" s="7">
        <v>17389</v>
      </c>
    </row>
    <row r="86" spans="1:5" x14ac:dyDescent="0.2">
      <c r="A86" s="6">
        <v>46149</v>
      </c>
      <c r="B86" s="30">
        <v>6.6050000000000004</v>
      </c>
      <c r="C86" s="16">
        <v>4.41</v>
      </c>
      <c r="D86" s="31">
        <f t="shared" si="2"/>
        <v>219.50000000000003</v>
      </c>
      <c r="E86" s="7">
        <v>17342</v>
      </c>
    </row>
    <row r="87" spans="1:5" x14ac:dyDescent="0.2">
      <c r="A87" s="6">
        <v>46150</v>
      </c>
      <c r="B87" s="30">
        <v>6.6029999999999998</v>
      </c>
      <c r="C87" s="16">
        <v>4.38</v>
      </c>
      <c r="D87" s="31">
        <f t="shared" si="2"/>
        <v>222.29999999999998</v>
      </c>
      <c r="E87" s="7">
        <v>17373</v>
      </c>
    </row>
    <row r="88" spans="1:5" x14ac:dyDescent="0.2">
      <c r="A88" s="6">
        <v>46153</v>
      </c>
      <c r="B88" s="30">
        <v>6.6159999999999997</v>
      </c>
      <c r="C88" s="16">
        <v>4.42</v>
      </c>
      <c r="D88" s="31">
        <f t="shared" si="2"/>
        <v>219.59999999999997</v>
      </c>
      <c r="E88" s="7">
        <v>17412</v>
      </c>
    </row>
    <row r="89" spans="1:5" x14ac:dyDescent="0.2">
      <c r="A89" s="6">
        <v>46154</v>
      </c>
      <c r="B89" s="30">
        <v>6.7110000000000003</v>
      </c>
      <c r="C89" s="16">
        <v>4.46</v>
      </c>
      <c r="D89" s="31">
        <f t="shared" si="2"/>
        <v>225.10000000000002</v>
      </c>
      <c r="E89" s="7">
        <v>17500</v>
      </c>
    </row>
    <row r="90" spans="1:5" x14ac:dyDescent="0.2">
      <c r="A90" s="6">
        <v>46155</v>
      </c>
      <c r="B90" s="30">
        <v>6.6909999999999998</v>
      </c>
      <c r="C90" s="16">
        <v>4.46</v>
      </c>
      <c r="D90" s="31">
        <f t="shared" si="2"/>
        <v>223.1</v>
      </c>
      <c r="E90" s="7">
        <v>17465</v>
      </c>
    </row>
    <row r="91" spans="1:5" x14ac:dyDescent="0.2">
      <c r="A91" s="6">
        <v>46160</v>
      </c>
      <c r="B91" s="30">
        <v>6.774</v>
      </c>
      <c r="C91" s="16">
        <v>4.6100000000000003</v>
      </c>
      <c r="D91" s="31">
        <f t="shared" si="2"/>
        <v>216.39999999999998</v>
      </c>
      <c r="E91" s="7">
        <v>17656</v>
      </c>
    </row>
    <row r="92" spans="1:5" x14ac:dyDescent="0.2">
      <c r="A92" s="6">
        <v>46161</v>
      </c>
      <c r="B92" s="30">
        <v>6.7779999999999996</v>
      </c>
      <c r="C92" s="16">
        <v>4.67</v>
      </c>
      <c r="D92" s="31">
        <f t="shared" si="2"/>
        <v>210.79999999999995</v>
      </c>
      <c r="E92" s="7">
        <v>17705</v>
      </c>
    </row>
    <row r="93" spans="1:5" x14ac:dyDescent="0.2">
      <c r="A93" s="6">
        <v>46162</v>
      </c>
      <c r="B93" s="30">
        <v>6.8209999999999997</v>
      </c>
      <c r="C93" s="16">
        <v>4.57</v>
      </c>
      <c r="D93" s="31">
        <f t="shared" si="2"/>
        <v>225.09999999999994</v>
      </c>
      <c r="E93" s="7">
        <v>17605</v>
      </c>
    </row>
    <row r="94" spans="1:5" x14ac:dyDescent="0.2">
      <c r="A94" s="6">
        <v>46163</v>
      </c>
      <c r="B94" s="30">
        <v>6.7759999999999998</v>
      </c>
      <c r="C94" s="16">
        <v>4.57</v>
      </c>
      <c r="D94" s="31">
        <f t="shared" si="2"/>
        <v>220.59999999999997</v>
      </c>
      <c r="E94" s="7">
        <v>17654</v>
      </c>
    </row>
    <row r="95" spans="1:5" x14ac:dyDescent="0.2">
      <c r="A95" s="6">
        <v>46164</v>
      </c>
      <c r="B95" s="30">
        <v>6.7370000000000001</v>
      </c>
      <c r="C95" s="16">
        <v>4.5599999999999996</v>
      </c>
      <c r="D95" s="31">
        <f t="shared" si="2"/>
        <v>217.70000000000005</v>
      </c>
      <c r="E95" s="7">
        <v>17709</v>
      </c>
    </row>
    <row r="96" spans="1:5" x14ac:dyDescent="0.2">
      <c r="A96" s="6">
        <v>46167</v>
      </c>
      <c r="B96" s="30">
        <v>6.6820000000000004</v>
      </c>
      <c r="D96" s="31" t="str">
        <f t="shared" si="2"/>
        <v/>
      </c>
      <c r="E96" s="7">
        <v>17743</v>
      </c>
    </row>
    <row r="97" spans="1:5" x14ac:dyDescent="0.2">
      <c r="A97" s="6">
        <v>46168</v>
      </c>
      <c r="B97" s="30">
        <v>6.7089999999999996</v>
      </c>
      <c r="C97" s="16">
        <v>4.5</v>
      </c>
      <c r="D97" s="31">
        <f t="shared" si="2"/>
        <v>220.89999999999998</v>
      </c>
      <c r="E97" s="7">
        <v>17789</v>
      </c>
    </row>
    <row r="98" spans="1:5" x14ac:dyDescent="0.2">
      <c r="A98" s="6">
        <v>46171</v>
      </c>
      <c r="B98" s="30">
        <v>6.72</v>
      </c>
      <c r="C98" s="16">
        <v>4.45</v>
      </c>
      <c r="D98" s="31">
        <f t="shared" si="2"/>
        <v>226.99999999999994</v>
      </c>
      <c r="E98" s="7">
        <v>17874</v>
      </c>
    </row>
    <row r="99" spans="1:5" x14ac:dyDescent="0.2">
      <c r="A99" s="6">
        <v>46175</v>
      </c>
      <c r="B99" s="30">
        <v>6.7590000000000003</v>
      </c>
      <c r="C99" s="16">
        <v>4.46</v>
      </c>
      <c r="D99" s="31">
        <f t="shared" si="2"/>
        <v>229.90000000000003</v>
      </c>
      <c r="E99" s="7">
        <v>17838</v>
      </c>
    </row>
    <row r="100" spans="1:5" x14ac:dyDescent="0.2">
      <c r="A100" s="6">
        <v>46176</v>
      </c>
      <c r="B100" s="30">
        <v>6.7009999999999996</v>
      </c>
      <c r="C100" s="16">
        <v>4.49</v>
      </c>
      <c r="D100" s="31">
        <f t="shared" si="2"/>
        <v>221.09999999999994</v>
      </c>
      <c r="E100" s="7">
        <v>17950</v>
      </c>
    </row>
    <row r="101" spans="1:5" x14ac:dyDescent="0.2">
      <c r="A101" s="6">
        <v>46177</v>
      </c>
      <c r="B101" s="30">
        <v>6.8129999999999997</v>
      </c>
      <c r="C101" s="16">
        <v>4.47</v>
      </c>
      <c r="D101" s="31">
        <f t="shared" ref="D101:D132" si="3">IF(AND(ISNUMBER(B101),ISNUMBER(C101)),(B101-C101)*100,"")</f>
        <v>234.3</v>
      </c>
      <c r="E101" s="7">
        <v>18033</v>
      </c>
    </row>
    <row r="102" spans="1:5" x14ac:dyDescent="0.2">
      <c r="A102" s="6">
        <v>46178</v>
      </c>
      <c r="B102" s="30">
        <v>6.8760000000000003</v>
      </c>
      <c r="C102" s="16">
        <v>4.55</v>
      </c>
      <c r="D102" s="31">
        <f t="shared" si="3"/>
        <v>232.60000000000005</v>
      </c>
      <c r="E102" s="7">
        <v>18020</v>
      </c>
    </row>
    <row r="103" spans="1:5" x14ac:dyDescent="0.2">
      <c r="A103" s="6">
        <v>46181</v>
      </c>
      <c r="B103" s="30">
        <v>7.2789999999999999</v>
      </c>
      <c r="C103" s="16">
        <v>4.5599999999999996</v>
      </c>
      <c r="D103" s="31">
        <f t="shared" si="3"/>
        <v>271.90000000000003</v>
      </c>
      <c r="E103" s="7">
        <v>18178</v>
      </c>
    </row>
    <row r="104" spans="1:5" x14ac:dyDescent="0.2">
      <c r="A104" s="6">
        <v>46182</v>
      </c>
      <c r="B104" s="30">
        <v>7.4139999999999997</v>
      </c>
      <c r="C104" s="16">
        <v>4.53</v>
      </c>
      <c r="D104" s="31">
        <f t="shared" si="3"/>
        <v>288.39999999999992</v>
      </c>
      <c r="E104" s="7">
        <v>18060</v>
      </c>
    </row>
    <row r="105" spans="1:5" x14ac:dyDescent="0.2">
      <c r="A105" s="6">
        <v>46183</v>
      </c>
      <c r="B105" s="30">
        <v>7.343</v>
      </c>
      <c r="C105" s="16">
        <v>4.55</v>
      </c>
      <c r="D105" s="31">
        <f t="shared" si="3"/>
        <v>279.3</v>
      </c>
      <c r="E105" s="7">
        <v>17953</v>
      </c>
    </row>
    <row r="106" spans="1:5" x14ac:dyDescent="0.2">
      <c r="A106" s="6">
        <v>46184</v>
      </c>
      <c r="B106" s="30">
        <v>7.4450000000000003</v>
      </c>
      <c r="C106" s="16">
        <v>4.45</v>
      </c>
      <c r="D106" s="31">
        <f t="shared" si="3"/>
        <v>299.5</v>
      </c>
      <c r="E106" s="7">
        <v>17993</v>
      </c>
    </row>
    <row r="107" spans="1:5" x14ac:dyDescent="0.2">
      <c r="A107" s="6">
        <v>46185</v>
      </c>
      <c r="B107" s="30">
        <v>7.4169999999999998</v>
      </c>
      <c r="C107" s="16">
        <v>4.4800000000000004</v>
      </c>
      <c r="D107" s="31">
        <f t="shared" si="3"/>
        <v>293.69999999999993</v>
      </c>
      <c r="E107" s="7">
        <v>17870</v>
      </c>
    </row>
    <row r="108" spans="1:5" x14ac:dyDescent="0.2">
      <c r="A108" s="6">
        <v>46188</v>
      </c>
      <c r="C108" s="16">
        <v>4.47</v>
      </c>
      <c r="D108" s="31" t="str">
        <f t="shared" si="3"/>
        <v/>
      </c>
      <c r="E108" s="7">
        <v>17703</v>
      </c>
    </row>
    <row r="109" spans="1:5" x14ac:dyDescent="0.2">
      <c r="A109" s="6">
        <v>46190</v>
      </c>
      <c r="B109" s="30">
        <v>6.899</v>
      </c>
      <c r="C109" s="16">
        <v>4.49</v>
      </c>
      <c r="D109" s="31">
        <f t="shared" si="3"/>
        <v>240.89999999999998</v>
      </c>
      <c r="E109" s="7">
        <v>17738</v>
      </c>
    </row>
    <row r="110" spans="1:5" x14ac:dyDescent="0.2">
      <c r="A110" s="6">
        <v>46191</v>
      </c>
      <c r="B110" s="30">
        <v>7.0510000000000002</v>
      </c>
      <c r="C110" s="16">
        <v>4.46</v>
      </c>
      <c r="D110" s="31">
        <f t="shared" si="3"/>
        <v>259.10000000000002</v>
      </c>
      <c r="E110" s="7">
        <v>17710</v>
      </c>
    </row>
    <row r="111" spans="1:5" x14ac:dyDescent="0.2">
      <c r="A111" s="6">
        <v>46192</v>
      </c>
      <c r="B111" s="30">
        <v>7.0759999999999996</v>
      </c>
      <c r="D111" s="31" t="str">
        <f t="shared" si="3"/>
        <v/>
      </c>
      <c r="E111" s="7">
        <v>17790</v>
      </c>
    </row>
    <row r="112" spans="1:5" x14ac:dyDescent="0.2">
      <c r="A112" s="6">
        <v>46195</v>
      </c>
      <c r="B112" s="30">
        <v>7.109</v>
      </c>
      <c r="C112" s="16">
        <v>4.51</v>
      </c>
      <c r="D112" s="31">
        <f t="shared" si="3"/>
        <v>259.90000000000003</v>
      </c>
      <c r="E112" s="7">
        <v>17832</v>
      </c>
    </row>
    <row r="113" spans="1:5" x14ac:dyDescent="0.2">
      <c r="A113" s="6">
        <v>46196</v>
      </c>
      <c r="B113" s="30">
        <v>7.1820000000000004</v>
      </c>
      <c r="C113" s="16">
        <v>4.5</v>
      </c>
      <c r="D113" s="31">
        <f t="shared" si="3"/>
        <v>268.20000000000005</v>
      </c>
      <c r="E113" s="7">
        <v>17845</v>
      </c>
    </row>
    <row r="114" spans="1:5" x14ac:dyDescent="0.2">
      <c r="A114" s="6">
        <v>46197</v>
      </c>
      <c r="B114" s="30">
        <v>7.218</v>
      </c>
      <c r="C114" s="16">
        <v>4.41</v>
      </c>
      <c r="D114" s="31">
        <f t="shared" si="3"/>
        <v>280.79999999999995</v>
      </c>
      <c r="E114" s="7">
        <v>17943</v>
      </c>
    </row>
    <row r="115" spans="1:5" x14ac:dyDescent="0.2">
      <c r="A115" s="6">
        <v>46198</v>
      </c>
      <c r="B115" s="30">
        <v>7.1829999999999998</v>
      </c>
      <c r="C115" s="16">
        <v>4.4000000000000004</v>
      </c>
      <c r="D115" s="31">
        <f t="shared" si="3"/>
        <v>278.29999999999995</v>
      </c>
      <c r="E115" s="7">
        <v>17925</v>
      </c>
    </row>
    <row r="116" spans="1:5" x14ac:dyDescent="0.2">
      <c r="A116" s="6">
        <v>46199</v>
      </c>
      <c r="B116" s="30">
        <v>7.1580000000000004</v>
      </c>
      <c r="C116" s="16">
        <v>4.38</v>
      </c>
      <c r="D116" s="31">
        <f t="shared" si="3"/>
        <v>277.80000000000007</v>
      </c>
      <c r="E116" s="7">
        <v>17918</v>
      </c>
    </row>
    <row r="117" spans="1:5" x14ac:dyDescent="0.2">
      <c r="A117" s="6">
        <v>46202</v>
      </c>
      <c r="B117" s="30">
        <v>7.1470000000000002</v>
      </c>
      <c r="C117" s="16">
        <v>4.38</v>
      </c>
      <c r="D117" s="31">
        <f t="shared" si="3"/>
        <v>276.70000000000005</v>
      </c>
      <c r="E117" s="7">
        <v>17848</v>
      </c>
    </row>
    <row r="118" spans="1:5" x14ac:dyDescent="0.2">
      <c r="A118" s="6">
        <v>46203</v>
      </c>
      <c r="B118" s="30">
        <v>7.1580000000000004</v>
      </c>
      <c r="C118" s="16">
        <v>4.4400000000000004</v>
      </c>
      <c r="D118" s="31">
        <f t="shared" si="3"/>
        <v>271.8</v>
      </c>
      <c r="E118" s="7">
        <v>17882</v>
      </c>
    </row>
    <row r="119" spans="1:5" x14ac:dyDescent="0.2">
      <c r="A119" s="6">
        <v>46204</v>
      </c>
      <c r="B119" s="30">
        <v>7.1719999999999997</v>
      </c>
      <c r="C119" s="16">
        <v>4.4800000000000004</v>
      </c>
      <c r="D119" s="31">
        <f t="shared" si="3"/>
        <v>269.19999999999993</v>
      </c>
      <c r="E119" s="7">
        <v>17948</v>
      </c>
    </row>
    <row r="120" spans="1:5" x14ac:dyDescent="0.2">
      <c r="A120" s="6">
        <v>46205</v>
      </c>
      <c r="B120" s="30">
        <v>7.16</v>
      </c>
      <c r="C120" s="16">
        <v>4.49</v>
      </c>
      <c r="D120" s="31">
        <f t="shared" si="3"/>
        <v>267</v>
      </c>
      <c r="E120" s="7">
        <v>17994</v>
      </c>
    </row>
    <row r="121" spans="1:5" x14ac:dyDescent="0.2">
      <c r="A121" s="6">
        <v>46206</v>
      </c>
      <c r="B121" s="30">
        <v>7.1369999999999996</v>
      </c>
      <c r="D121" s="31" t="str">
        <f t="shared" si="3"/>
        <v/>
      </c>
      <c r="E121" s="7">
        <v>17954</v>
      </c>
    </row>
    <row r="122" spans="1:5" x14ac:dyDescent="0.2">
      <c r="A122" s="6">
        <v>46209</v>
      </c>
      <c r="B122" s="30">
        <v>7.13</v>
      </c>
      <c r="C122" s="16">
        <v>4.4800000000000004</v>
      </c>
      <c r="D122" s="31">
        <f t="shared" si="3"/>
        <v>264.99999999999994</v>
      </c>
      <c r="E122" s="7">
        <v>17995</v>
      </c>
    </row>
    <row r="123" spans="1:5" x14ac:dyDescent="0.2">
      <c r="A123" s="6">
        <v>46210</v>
      </c>
      <c r="B123" s="30">
        <v>7.1890000000000001</v>
      </c>
      <c r="C123" s="16">
        <v>4.55</v>
      </c>
      <c r="D123" s="31">
        <f t="shared" si="3"/>
        <v>263.90000000000003</v>
      </c>
      <c r="E123" s="7">
        <v>17982</v>
      </c>
    </row>
    <row r="124" spans="1:5" x14ac:dyDescent="0.2">
      <c r="A124" s="6">
        <v>46211</v>
      </c>
      <c r="B124" s="30">
        <v>7.2910000000000004</v>
      </c>
      <c r="C124" s="16">
        <v>4.5599999999999996</v>
      </c>
      <c r="D124" s="31">
        <f t="shared" si="3"/>
        <v>273.10000000000008</v>
      </c>
      <c r="E124" s="7">
        <v>17999</v>
      </c>
    </row>
    <row r="125" spans="1:5" x14ac:dyDescent="0.2">
      <c r="A125" s="6">
        <v>46212</v>
      </c>
      <c r="B125" s="30">
        <v>7.2850000000000001</v>
      </c>
      <c r="C125" s="16">
        <v>4.54</v>
      </c>
      <c r="D125" s="31">
        <f t="shared" si="3"/>
        <v>274.5</v>
      </c>
      <c r="E125" s="7">
        <v>18084</v>
      </c>
    </row>
    <row r="126" spans="1:5" x14ac:dyDescent="0.2">
      <c r="A126" s="6">
        <v>46213</v>
      </c>
      <c r="B126" s="30">
        <v>7.2370000000000001</v>
      </c>
      <c r="C126" s="16">
        <v>4.5599999999999996</v>
      </c>
      <c r="D126" s="31">
        <f t="shared" si="3"/>
        <v>267.70000000000005</v>
      </c>
      <c r="E126" s="7">
        <v>18055</v>
      </c>
    </row>
    <row r="127" spans="1:5" x14ac:dyDescent="0.2">
      <c r="A127" s="6">
        <v>46216</v>
      </c>
      <c r="B127" s="30">
        <v>7.2350000000000003</v>
      </c>
      <c r="C127" s="16">
        <v>4.62</v>
      </c>
      <c r="D127" s="31">
        <f t="shared" si="3"/>
        <v>261.5</v>
      </c>
      <c r="E127" s="7">
        <v>18105</v>
      </c>
    </row>
    <row r="128" spans="1:5" x14ac:dyDescent="0.2">
      <c r="A128" s="6">
        <v>46217</v>
      </c>
      <c r="B128" s="30">
        <v>7.2590000000000003</v>
      </c>
      <c r="C128" s="16">
        <v>4.58</v>
      </c>
      <c r="D128" s="31">
        <f t="shared" si="3"/>
        <v>267.90000000000003</v>
      </c>
      <c r="E128" s="7">
        <v>18092</v>
      </c>
    </row>
    <row r="129" spans="1:5" x14ac:dyDescent="0.2">
      <c r="A129" s="6">
        <v>46218</v>
      </c>
      <c r="B129" s="30">
        <v>7.24</v>
      </c>
      <c r="C129" s="16">
        <v>4.55</v>
      </c>
      <c r="D129" s="31">
        <f t="shared" si="3"/>
        <v>269.00000000000006</v>
      </c>
      <c r="E129" s="7">
        <v>18067</v>
      </c>
    </row>
    <row r="130" spans="1:5" x14ac:dyDescent="0.2">
      <c r="A130" s="6">
        <v>46219</v>
      </c>
      <c r="B130" s="30">
        <v>7.2519999999999998</v>
      </c>
      <c r="C130" s="16">
        <v>4.57</v>
      </c>
      <c r="D130" s="31">
        <f t="shared" si="3"/>
        <v>268.19999999999993</v>
      </c>
      <c r="E130" s="7">
        <v>17985</v>
      </c>
    </row>
    <row r="131" spans="1:5" x14ac:dyDescent="0.2">
      <c r="A131" s="6">
        <v>46220</v>
      </c>
      <c r="B131" s="30">
        <v>7.2560000000000002</v>
      </c>
      <c r="C131" s="16">
        <v>4.55</v>
      </c>
      <c r="D131" s="31">
        <f t="shared" si="3"/>
        <v>270.60000000000002</v>
      </c>
      <c r="E131" s="7">
        <v>17895</v>
      </c>
    </row>
    <row r="132" spans="1:5" x14ac:dyDescent="0.2">
      <c r="A132" s="6">
        <v>46223</v>
      </c>
      <c r="B132" s="30">
        <v>7.2770000000000001</v>
      </c>
      <c r="C132" s="16">
        <v>4.5999999999999996</v>
      </c>
      <c r="D132" s="31">
        <f t="shared" si="3"/>
        <v>267.70000000000005</v>
      </c>
      <c r="E132" s="7">
        <v>17942</v>
      </c>
    </row>
    <row r="133" spans="1:5" x14ac:dyDescent="0.2">
      <c r="A133" s="6">
        <v>46224</v>
      </c>
      <c r="B133" s="30">
        <v>7.29</v>
      </c>
      <c r="C133" s="16">
        <v>4.63</v>
      </c>
      <c r="D133" s="31">
        <f t="shared" ref="D133:D164" si="4">IF(AND(ISNUMBER(B133),ISNUMBER(C133)),(B133-C133)*100,"")</f>
        <v>266</v>
      </c>
      <c r="E133" s="7">
        <v>17883</v>
      </c>
    </row>
    <row r="134" spans="1:5" x14ac:dyDescent="0.2">
      <c r="A134" s="6">
        <v>46225</v>
      </c>
      <c r="B134" s="30">
        <v>7.3</v>
      </c>
      <c r="C134" s="16">
        <v>4.67</v>
      </c>
      <c r="D134" s="31">
        <f t="shared" si="4"/>
        <v>263</v>
      </c>
      <c r="E134" s="7">
        <v>17880</v>
      </c>
    </row>
    <row r="135" spans="1:5" x14ac:dyDescent="0.2">
      <c r="A135" s="6">
        <v>46226</v>
      </c>
      <c r="B135" s="30">
        <v>7.343</v>
      </c>
      <c r="C135" s="16">
        <v>4.71</v>
      </c>
      <c r="D135" s="31">
        <f t="shared" si="4"/>
        <v>263.3</v>
      </c>
      <c r="E135" s="7">
        <v>17915</v>
      </c>
    </row>
    <row r="136" spans="1:5" x14ac:dyDescent="0.2">
      <c r="A136" s="6">
        <v>46227</v>
      </c>
      <c r="B136" s="30">
        <v>7.3540000000000001</v>
      </c>
      <c r="C136" s="16">
        <v>4.6900000000000004</v>
      </c>
      <c r="D136" s="31">
        <f t="shared" si="4"/>
        <v>266.39999999999998</v>
      </c>
      <c r="E136" s="7">
        <v>17943</v>
      </c>
    </row>
    <row r="137" spans="1:5" x14ac:dyDescent="0.2">
      <c r="A137" s="6">
        <v>46230</v>
      </c>
      <c r="B137" s="30">
        <v>7.3719999999999999</v>
      </c>
      <c r="C137" s="16">
        <v>4.6500000000000004</v>
      </c>
      <c r="D137" s="31">
        <f t="shared" si="4"/>
        <v>272.19999999999993</v>
      </c>
      <c r="E137" s="7">
        <v>18005</v>
      </c>
    </row>
    <row r="138" spans="1:5" x14ac:dyDescent="0.2">
      <c r="A138" s="6">
        <v>46231</v>
      </c>
      <c r="B138" s="30">
        <v>7.3639999999999999</v>
      </c>
      <c r="C138" s="16">
        <v>4.6100000000000003</v>
      </c>
      <c r="D138" s="31">
        <f t="shared" si="4"/>
        <v>275.39999999999998</v>
      </c>
      <c r="E138" s="7">
        <v>18067</v>
      </c>
    </row>
    <row r="139" spans="1:5" x14ac:dyDescent="0.2">
      <c r="A139" s="6">
        <v>46232</v>
      </c>
      <c r="B139" s="30">
        <v>7.3259999999999996</v>
      </c>
      <c r="C139" s="16">
        <v>4.67</v>
      </c>
      <c r="D139" s="31">
        <f t="shared" si="4"/>
        <v>265.59999999999997</v>
      </c>
      <c r="E139" s="7">
        <v>18055</v>
      </c>
    </row>
    <row r="140" spans="1:5" x14ac:dyDescent="0.2">
      <c r="A140" s="6">
        <v>46233</v>
      </c>
      <c r="B140" s="30">
        <v>7.3440000000000003</v>
      </c>
      <c r="C140" s="16">
        <v>4.68</v>
      </c>
      <c r="D140" s="31">
        <f t="shared" si="4"/>
        <v>266.40000000000003</v>
      </c>
      <c r="E140" s="7">
        <v>18085</v>
      </c>
    </row>
    <row r="141" spans="1:5" x14ac:dyDescent="0.2">
      <c r="A141" s="6">
        <v>46234</v>
      </c>
      <c r="B141" s="30">
        <v>7.3360000000000003</v>
      </c>
      <c r="C141" s="16">
        <v>4.75</v>
      </c>
      <c r="D141" s="31">
        <f t="shared" si="4"/>
        <v>258.60000000000002</v>
      </c>
      <c r="E141" s="7">
        <v>18000</v>
      </c>
    </row>
    <row r="142" spans="1:5" x14ac:dyDescent="0.2">
      <c r="A142" s="6">
        <v>46237</v>
      </c>
      <c r="B142" s="30">
        <v>7.3330000000000002</v>
      </c>
      <c r="C142" s="16">
        <v>4.7</v>
      </c>
      <c r="D142" s="31">
        <f t="shared" si="4"/>
        <v>263.3</v>
      </c>
      <c r="E142" s="7">
        <v>17990</v>
      </c>
    </row>
    <row r="143" spans="1:5" x14ac:dyDescent="0.2">
      <c r="A143" s="6">
        <v>46238</v>
      </c>
      <c r="B143" s="30">
        <v>7.3369999999999997</v>
      </c>
      <c r="C143" s="16">
        <v>4.63</v>
      </c>
      <c r="D143" s="31">
        <f t="shared" si="4"/>
        <v>270.7</v>
      </c>
      <c r="E143" s="7">
        <v>18023</v>
      </c>
    </row>
    <row r="144" spans="1:5" x14ac:dyDescent="0.2">
      <c r="A144" s="6">
        <v>46239</v>
      </c>
      <c r="B144" s="30">
        <v>7.2930000000000001</v>
      </c>
      <c r="C144" s="16">
        <v>4.63</v>
      </c>
      <c r="D144" s="31">
        <f t="shared" si="4"/>
        <v>266.3</v>
      </c>
      <c r="E144" s="7">
        <v>17930</v>
      </c>
    </row>
    <row r="145" spans="1:5" x14ac:dyDescent="0.2">
      <c r="A145" s="6">
        <v>46240</v>
      </c>
      <c r="B145" s="30">
        <v>7.2850000000000001</v>
      </c>
      <c r="C145" s="16">
        <v>4.6900000000000004</v>
      </c>
      <c r="D145" s="31">
        <f t="shared" si="4"/>
        <v>259.5</v>
      </c>
      <c r="E145" s="7">
        <v>17918</v>
      </c>
    </row>
    <row r="146" spans="1:5" x14ac:dyDescent="0.2">
      <c r="A146" s="6">
        <v>46241</v>
      </c>
      <c r="B146" s="30">
        <v>7.2839999999999998</v>
      </c>
      <c r="C146" s="16">
        <v>4.6500000000000004</v>
      </c>
      <c r="D146" s="31">
        <f t="shared" si="4"/>
        <v>263.39999999999992</v>
      </c>
      <c r="E146" s="7">
        <v>17890</v>
      </c>
    </row>
    <row r="147" spans="1:5" x14ac:dyDescent="0.2">
      <c r="A147" s="6">
        <v>46244</v>
      </c>
      <c r="B147" s="30">
        <v>7.2450000000000001</v>
      </c>
      <c r="C147" s="16">
        <v>4.72</v>
      </c>
      <c r="D147" s="31">
        <f t="shared" si="4"/>
        <v>252.50000000000003</v>
      </c>
      <c r="E147" s="7">
        <v>17762</v>
      </c>
    </row>
    <row r="148" spans="1:5" x14ac:dyDescent="0.2">
      <c r="A148" s="6">
        <v>46245</v>
      </c>
      <c r="B148" s="30">
        <v>7.2389999999999999</v>
      </c>
      <c r="C148" s="16">
        <v>4.7</v>
      </c>
      <c r="D148" s="31">
        <f t="shared" si="4"/>
        <v>253.89999999999998</v>
      </c>
      <c r="E148" s="7">
        <v>17840</v>
      </c>
    </row>
    <row r="149" spans="1:5" x14ac:dyDescent="0.2">
      <c r="A149" s="6">
        <v>46246</v>
      </c>
      <c r="B149" s="30">
        <v>7.24</v>
      </c>
      <c r="C149" s="16">
        <v>4.68</v>
      </c>
      <c r="D149" s="31">
        <f t="shared" si="4"/>
        <v>256.00000000000006</v>
      </c>
      <c r="E149" s="7">
        <v>17875</v>
      </c>
    </row>
    <row r="150" spans="1:5" x14ac:dyDescent="0.2">
      <c r="A150" s="6">
        <v>46247</v>
      </c>
      <c r="B150" s="30">
        <v>7.2169999999999996</v>
      </c>
      <c r="C150" s="16">
        <v>4.63</v>
      </c>
      <c r="D150" s="31">
        <f t="shared" si="4"/>
        <v>258.7</v>
      </c>
      <c r="E150" s="7">
        <v>17870</v>
      </c>
    </row>
    <row r="151" spans="1:5" x14ac:dyDescent="0.2">
      <c r="A151" s="6">
        <v>46248</v>
      </c>
      <c r="B151" s="30">
        <v>7.18</v>
      </c>
      <c r="C151" s="16">
        <v>4.68</v>
      </c>
      <c r="D151" s="31">
        <f t="shared" si="4"/>
        <v>250</v>
      </c>
      <c r="E151" s="7">
        <v>17825</v>
      </c>
    </row>
    <row r="152" spans="1:5" x14ac:dyDescent="0.2">
      <c r="A152" s="6">
        <v>46252</v>
      </c>
      <c r="B152" s="30">
        <v>7.1630000000000003</v>
      </c>
      <c r="C152" s="16">
        <v>4.71</v>
      </c>
      <c r="D152" s="31">
        <f t="shared" si="4"/>
        <v>245.30000000000004</v>
      </c>
      <c r="E152" s="7">
        <v>17857</v>
      </c>
    </row>
    <row r="153" spans="1:5" x14ac:dyDescent="0.2">
      <c r="A153" s="6">
        <v>46253</v>
      </c>
      <c r="B153" s="30">
        <v>7.1059999999999999</v>
      </c>
      <c r="C153" s="16">
        <v>4.6500000000000004</v>
      </c>
      <c r="D153" s="31">
        <f t="shared" si="4"/>
        <v>245.59999999999997</v>
      </c>
      <c r="E153" s="7">
        <v>17833</v>
      </c>
    </row>
    <row r="154" spans="1:5" x14ac:dyDescent="0.2">
      <c r="A154" s="6">
        <v>46254</v>
      </c>
      <c r="B154" s="30">
        <v>7.024</v>
      </c>
      <c r="C154" s="16">
        <v>4.6900000000000004</v>
      </c>
      <c r="D154" s="31">
        <f t="shared" si="4"/>
        <v>233.39999999999998</v>
      </c>
      <c r="E154" s="7">
        <v>17746</v>
      </c>
    </row>
    <row r="155" spans="1:5" x14ac:dyDescent="0.2">
      <c r="A155" s="6">
        <v>46255</v>
      </c>
      <c r="B155" s="30">
        <v>6.9539999999999997</v>
      </c>
      <c r="C155" s="16">
        <v>4.74</v>
      </c>
      <c r="D155" s="31">
        <f t="shared" si="4"/>
        <v>221.39999999999995</v>
      </c>
      <c r="E155" s="7">
        <v>17693</v>
      </c>
    </row>
    <row r="156" spans="1:5" x14ac:dyDescent="0.2">
      <c r="A156" s="6">
        <v>46258</v>
      </c>
      <c r="B156" s="30">
        <v>7.0119999999999996</v>
      </c>
      <c r="C156" s="16">
        <v>4.7</v>
      </c>
      <c r="D156" s="31">
        <f t="shared" si="4"/>
        <v>231.19999999999993</v>
      </c>
      <c r="E156" s="7">
        <v>17712</v>
      </c>
    </row>
    <row r="157" spans="1:5" x14ac:dyDescent="0.2">
      <c r="A157" s="6">
        <v>46260</v>
      </c>
      <c r="B157" s="30">
        <v>7.0510000000000002</v>
      </c>
      <c r="C157" s="16">
        <v>4.66</v>
      </c>
      <c r="D157" s="31">
        <f t="shared" si="4"/>
        <v>239.1</v>
      </c>
      <c r="E157" s="7">
        <v>17712</v>
      </c>
    </row>
    <row r="158" spans="1:5" x14ac:dyDescent="0.2">
      <c r="A158" s="6">
        <v>46261</v>
      </c>
      <c r="B158" s="30">
        <v>7.0810000000000004</v>
      </c>
      <c r="C158" s="16">
        <v>4.67</v>
      </c>
      <c r="D158" s="31">
        <f t="shared" si="4"/>
        <v>241.10000000000005</v>
      </c>
      <c r="E158" s="7">
        <v>17726</v>
      </c>
    </row>
    <row r="159" spans="1:5" x14ac:dyDescent="0.2">
      <c r="A159" s="6">
        <v>46262</v>
      </c>
      <c r="B159" s="30">
        <v>7.0039999999999996</v>
      </c>
      <c r="C159" s="16">
        <v>4.7300000000000004</v>
      </c>
      <c r="D159" s="31">
        <f t="shared" si="4"/>
        <v>227.39999999999992</v>
      </c>
      <c r="E159" s="7">
        <v>17692</v>
      </c>
    </row>
    <row r="160" spans="1:5" x14ac:dyDescent="0.2">
      <c r="A160" s="6">
        <v>46265</v>
      </c>
      <c r="B160" s="30">
        <v>7.0250000000000004</v>
      </c>
      <c r="C160" s="16">
        <v>4.75</v>
      </c>
      <c r="D160" s="31">
        <f t="shared" si="4"/>
        <v>227.50000000000003</v>
      </c>
      <c r="E160" s="7">
        <v>17720</v>
      </c>
    </row>
    <row r="161" spans="1:5" x14ac:dyDescent="0.2">
      <c r="A161" s="6">
        <v>46266</v>
      </c>
      <c r="B161" s="30">
        <v>7.0640000000000001</v>
      </c>
      <c r="C161" s="16">
        <v>4.79</v>
      </c>
      <c r="D161" s="31">
        <f t="shared" si="4"/>
        <v>227.4</v>
      </c>
      <c r="E161" s="7">
        <v>17726</v>
      </c>
    </row>
    <row r="162" spans="1:5" x14ac:dyDescent="0.2">
      <c r="A162" s="6">
        <v>46267</v>
      </c>
      <c r="B162" s="30">
        <v>7.05</v>
      </c>
      <c r="C162" s="16">
        <v>4.79</v>
      </c>
      <c r="D162" s="31">
        <f t="shared" si="4"/>
        <v>225.99999999999997</v>
      </c>
      <c r="E162" s="7">
        <v>17760</v>
      </c>
    </row>
    <row r="163" spans="1:5" x14ac:dyDescent="0.2">
      <c r="A163" s="6">
        <v>46268</v>
      </c>
      <c r="B163" s="30">
        <v>7.1289999999999996</v>
      </c>
      <c r="C163" s="16">
        <v>4.7699999999999996</v>
      </c>
      <c r="D163" s="31">
        <f t="shared" si="4"/>
        <v>235.9</v>
      </c>
      <c r="E163" s="7">
        <v>17660</v>
      </c>
    </row>
    <row r="164" spans="1:5" x14ac:dyDescent="0.2">
      <c r="A164" s="6">
        <v>46269</v>
      </c>
      <c r="B164" s="30">
        <v>7.1150000000000002</v>
      </c>
      <c r="C164" s="16">
        <v>4.78</v>
      </c>
      <c r="D164" s="31">
        <f t="shared" si="4"/>
        <v>233.5</v>
      </c>
      <c r="E164" s="7">
        <v>17637</v>
      </c>
    </row>
    <row r="165" spans="1:5" x14ac:dyDescent="0.2">
      <c r="A165" s="6">
        <v>46272</v>
      </c>
      <c r="B165" s="30">
        <v>7.11</v>
      </c>
      <c r="D165" s="31" t="str">
        <f t="shared" ref="D165:D196" si="5">IF(AND(ISNUMBER(B165),ISNUMBER(C165)),(B165-C165)*100,"")</f>
        <v/>
      </c>
      <c r="E165" s="7">
        <v>17640</v>
      </c>
    </row>
    <row r="166" spans="1:5" x14ac:dyDescent="0.2">
      <c r="A166" s="6">
        <v>46273</v>
      </c>
      <c r="B166" s="30">
        <v>7.1130000000000004</v>
      </c>
      <c r="C166" s="16">
        <v>4.8</v>
      </c>
      <c r="D166" s="31">
        <f t="shared" si="5"/>
        <v>231.30000000000007</v>
      </c>
      <c r="E166" s="7">
        <v>17630</v>
      </c>
    </row>
    <row r="167" spans="1:5" x14ac:dyDescent="0.2">
      <c r="A167" s="6">
        <v>46274</v>
      </c>
      <c r="B167" s="30">
        <v>7.0990000000000002</v>
      </c>
      <c r="C167" s="16">
        <v>4.83</v>
      </c>
      <c r="D167" s="31">
        <f t="shared" si="5"/>
        <v>226.9</v>
      </c>
      <c r="E167" s="7">
        <v>17513</v>
      </c>
    </row>
    <row r="168" spans="1:5" x14ac:dyDescent="0.2">
      <c r="A168" s="6">
        <v>46275</v>
      </c>
      <c r="B168" s="30">
        <v>7.109</v>
      </c>
      <c r="C168" s="16">
        <v>4.95</v>
      </c>
      <c r="D168" s="31">
        <f t="shared" si="5"/>
        <v>215.89999999999998</v>
      </c>
      <c r="E168" s="7">
        <v>17539</v>
      </c>
    </row>
    <row r="169" spans="1:5" x14ac:dyDescent="0.2">
      <c r="A169" s="6">
        <v>46276</v>
      </c>
      <c r="B169" s="30">
        <v>7.1509999999999998</v>
      </c>
      <c r="C169" s="16">
        <v>4.96</v>
      </c>
      <c r="D169" s="31">
        <f t="shared" si="5"/>
        <v>219.1</v>
      </c>
      <c r="E169" s="7">
        <v>17600</v>
      </c>
    </row>
    <row r="170" spans="1:5" x14ac:dyDescent="0.2">
      <c r="A170" s="6">
        <v>46279</v>
      </c>
      <c r="B170" s="30">
        <v>7.1580000000000004</v>
      </c>
      <c r="C170" s="16">
        <v>4.97</v>
      </c>
      <c r="D170" s="31">
        <f t="shared" si="5"/>
        <v>218.80000000000007</v>
      </c>
      <c r="E170" s="7">
        <v>17648</v>
      </c>
    </row>
    <row r="171" spans="1:5" x14ac:dyDescent="0.2">
      <c r="A171" s="6">
        <v>46280</v>
      </c>
      <c r="B171" s="30">
        <v>7.1790000000000003</v>
      </c>
      <c r="C171" s="16">
        <v>5</v>
      </c>
      <c r="D171" s="31">
        <f t="shared" si="5"/>
        <v>217.90000000000003</v>
      </c>
      <c r="E171" s="7">
        <v>17691</v>
      </c>
    </row>
    <row r="172" spans="1:5" x14ac:dyDescent="0.2">
      <c r="A172" s="6">
        <v>46281</v>
      </c>
      <c r="B172" s="30">
        <v>7.1589999999999998</v>
      </c>
      <c r="C172" s="16">
        <v>5.01</v>
      </c>
      <c r="D172" s="31">
        <f t="shared" si="5"/>
        <v>214.9</v>
      </c>
      <c r="E172" s="7">
        <v>17693</v>
      </c>
    </row>
    <row r="173" spans="1:5" x14ac:dyDescent="0.2">
      <c r="A173" s="6">
        <v>46282</v>
      </c>
      <c r="B173" s="30">
        <v>7.157</v>
      </c>
      <c r="C173" s="16">
        <v>4.9400000000000004</v>
      </c>
      <c r="D173" s="31">
        <f t="shared" si="5"/>
        <v>221.69999999999996</v>
      </c>
      <c r="E173" s="7">
        <v>17747</v>
      </c>
    </row>
    <row r="174" spans="1:5" x14ac:dyDescent="0.2">
      <c r="A174" s="6">
        <v>46283</v>
      </c>
      <c r="B174" s="30">
        <v>7.1219999999999999</v>
      </c>
      <c r="C174" s="16">
        <v>5.01</v>
      </c>
      <c r="D174" s="31">
        <f t="shared" si="5"/>
        <v>211.20000000000002</v>
      </c>
      <c r="E174" s="7">
        <v>17742</v>
      </c>
    </row>
    <row r="175" spans="1:5" x14ac:dyDescent="0.2">
      <c r="A175" s="6">
        <v>46286</v>
      </c>
      <c r="B175" s="30">
        <v>7.11</v>
      </c>
      <c r="C175" s="16">
        <v>4.96</v>
      </c>
      <c r="D175" s="31">
        <f t="shared" si="5"/>
        <v>215.00000000000003</v>
      </c>
      <c r="E175" s="7">
        <v>17838</v>
      </c>
    </row>
    <row r="176" spans="1:5" x14ac:dyDescent="0.2">
      <c r="A176" s="6">
        <v>46287</v>
      </c>
      <c r="B176" s="30">
        <v>7.1130000000000004</v>
      </c>
      <c r="C176" s="16">
        <v>4.96</v>
      </c>
      <c r="D176" s="31">
        <f t="shared" si="5"/>
        <v>215.30000000000004</v>
      </c>
      <c r="E176" s="7">
        <v>17872</v>
      </c>
    </row>
    <row r="177" spans="1:5" x14ac:dyDescent="0.2">
      <c r="A177" s="6">
        <v>46288</v>
      </c>
      <c r="B177" s="30">
        <v>7.0970000000000004</v>
      </c>
      <c r="C177" s="16">
        <v>5.1100000000000003</v>
      </c>
      <c r="D177" s="31">
        <f t="shared" si="5"/>
        <v>198.70000000000002</v>
      </c>
      <c r="E177" s="7">
        <v>17800</v>
      </c>
    </row>
    <row r="178" spans="1:5" x14ac:dyDescent="0.2">
      <c r="A178" s="6">
        <v>46289</v>
      </c>
      <c r="C178" s="16">
        <v>5.18</v>
      </c>
      <c r="D178" s="31" t="str">
        <f t="shared" si="5"/>
        <v/>
      </c>
      <c r="E178" s="7">
        <v>17901</v>
      </c>
    </row>
    <row r="179" spans="1:5" x14ac:dyDescent="0.2">
      <c r="A179" s="6">
        <v>46290</v>
      </c>
      <c r="C179" s="16">
        <v>5.17</v>
      </c>
      <c r="D179" s="31" t="str">
        <f t="shared" si="5"/>
        <v/>
      </c>
      <c r="E179" s="7">
        <v>17893</v>
      </c>
    </row>
    <row r="180" spans="1:5" x14ac:dyDescent="0.2">
      <c r="A180" s="6">
        <v>46293</v>
      </c>
      <c r="B180" s="30">
        <v>7.1390000000000002</v>
      </c>
      <c r="C180" s="16">
        <v>5.24</v>
      </c>
      <c r="D180" s="31">
        <f t="shared" si="5"/>
        <v>189.9</v>
      </c>
      <c r="E180" s="7">
        <v>17975</v>
      </c>
    </row>
    <row r="181" spans="1:5" x14ac:dyDescent="0.2">
      <c r="A181" s="6">
        <v>46294</v>
      </c>
      <c r="B181" s="30">
        <v>7.2149999999999999</v>
      </c>
      <c r="C181" s="16">
        <v>5.26</v>
      </c>
      <c r="D181" s="31">
        <f t="shared" si="5"/>
        <v>195.5</v>
      </c>
      <c r="E181" s="7">
        <v>17975</v>
      </c>
    </row>
    <row r="182" spans="1:5" x14ac:dyDescent="0.2">
      <c r="A182" s="6">
        <v>46295</v>
      </c>
      <c r="B182" s="30">
        <v>7.1440000000000001</v>
      </c>
      <c r="C182" s="16">
        <v>5.29</v>
      </c>
      <c r="D182" s="31">
        <f t="shared" si="5"/>
        <v>185.4</v>
      </c>
      <c r="E182" s="7">
        <v>17870</v>
      </c>
    </row>
    <row r="183" spans="1:5" x14ac:dyDescent="0.2">
      <c r="A183" s="6">
        <v>46296</v>
      </c>
      <c r="B183" s="30">
        <v>7.165</v>
      </c>
      <c r="C183" s="16">
        <v>5.24</v>
      </c>
      <c r="D183" s="31">
        <f t="shared" si="5"/>
        <v>192.49999999999997</v>
      </c>
      <c r="E183" s="7">
        <v>17950</v>
      </c>
    </row>
    <row r="184" spans="1:5" x14ac:dyDescent="0.2">
      <c r="A184" s="6">
        <v>46297</v>
      </c>
      <c r="B184" s="30">
        <v>7.1660000000000004</v>
      </c>
      <c r="C184" s="16">
        <v>5.28</v>
      </c>
      <c r="D184" s="31">
        <f t="shared" si="5"/>
        <v>188.60000000000002</v>
      </c>
      <c r="E184" s="7">
        <v>17875</v>
      </c>
    </row>
    <row r="185" spans="1:5" x14ac:dyDescent="0.2">
      <c r="A185" s="6">
        <v>46300</v>
      </c>
      <c r="B185" s="30">
        <v>7.1879999999999997</v>
      </c>
      <c r="C185" s="16">
        <v>5.31</v>
      </c>
      <c r="D185" s="31">
        <f t="shared" si="5"/>
        <v>187.8</v>
      </c>
      <c r="E185" s="7">
        <v>17907</v>
      </c>
    </row>
    <row r="186" spans="1:5" x14ac:dyDescent="0.2">
      <c r="A186" s="6">
        <v>46301</v>
      </c>
      <c r="B186" s="30">
        <v>7.2130000000000001</v>
      </c>
      <c r="C186" s="16">
        <v>5.27</v>
      </c>
      <c r="D186" s="31">
        <f t="shared" si="5"/>
        <v>194.30000000000004</v>
      </c>
      <c r="E186" s="7">
        <v>17900</v>
      </c>
    </row>
    <row r="187" spans="1:5" x14ac:dyDescent="0.2">
      <c r="A187" s="6">
        <v>46302</v>
      </c>
      <c r="B187" s="30">
        <v>7.1840000000000002</v>
      </c>
      <c r="C187" s="16">
        <v>5.28</v>
      </c>
      <c r="D187" s="31">
        <f t="shared" si="5"/>
        <v>190.39999999999998</v>
      </c>
      <c r="E187" s="7">
        <v>17882</v>
      </c>
    </row>
    <row r="188" spans="1:5" x14ac:dyDescent="0.2">
      <c r="A188" s="6">
        <v>46303</v>
      </c>
      <c r="B188" s="30">
        <v>7.2089999999999996</v>
      </c>
      <c r="C188" s="16">
        <v>5.22</v>
      </c>
      <c r="D188" s="31">
        <f t="shared" si="5"/>
        <v>198.89999999999998</v>
      </c>
      <c r="E188" s="7">
        <v>17898</v>
      </c>
    </row>
    <row r="189" spans="1:5" x14ac:dyDescent="0.2">
      <c r="A189" s="6">
        <v>46304</v>
      </c>
      <c r="C189" s="16">
        <v>5.24</v>
      </c>
      <c r="D189" s="31" t="str">
        <f t="shared" si="5"/>
        <v/>
      </c>
      <c r="E189" s="7">
        <v>17883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6"/>
  <sheetViews>
    <sheetView workbookViewId="0"/>
  </sheetViews>
  <sheetFormatPr baseColWidth="10" defaultColWidth="8.83203125" defaultRowHeight="15" x14ac:dyDescent="0.2"/>
  <cols>
    <col min="1" max="2" width="11" customWidth="1"/>
    <col min="3" max="3" width="10" customWidth="1"/>
    <col min="4" max="4" width="3" customWidth="1"/>
    <col min="5" max="5" width="30" customWidth="1"/>
    <col min="6" max="6" width="10" customWidth="1"/>
  </cols>
  <sheetData>
    <row r="1" spans="1:6" ht="16" x14ac:dyDescent="0.2">
      <c r="A1" s="1" t="s">
        <v>228</v>
      </c>
    </row>
    <row r="2" spans="1:6" x14ac:dyDescent="0.2">
      <c r="A2" s="4" t="s">
        <v>229</v>
      </c>
    </row>
    <row r="4" spans="1:6" x14ac:dyDescent="0.2">
      <c r="A4" s="5" t="s">
        <v>22</v>
      </c>
      <c r="B4" s="5" t="s">
        <v>230</v>
      </c>
      <c r="C4" s="5" t="s">
        <v>231</v>
      </c>
    </row>
    <row r="5" spans="1:6" x14ac:dyDescent="0.2">
      <c r="A5" s="6">
        <v>46022</v>
      </c>
      <c r="B5" s="16">
        <v>60.85</v>
      </c>
      <c r="C5" s="16">
        <v>57.42</v>
      </c>
      <c r="E5" s="2" t="s">
        <v>232</v>
      </c>
      <c r="F5" s="13">
        <f>B206/B202-1</f>
        <v>4.3859649122807154E-2</v>
      </c>
    </row>
    <row r="6" spans="1:6" x14ac:dyDescent="0.2">
      <c r="A6" s="6">
        <v>46024</v>
      </c>
      <c r="B6" s="16">
        <v>60.75</v>
      </c>
      <c r="C6" s="16">
        <v>57.32</v>
      </c>
      <c r="E6" s="2" t="s">
        <v>233</v>
      </c>
      <c r="F6" s="13">
        <f>C206/C202-1</f>
        <v>2.7060270602705883E-2</v>
      </c>
    </row>
    <row r="7" spans="1:6" x14ac:dyDescent="0.2">
      <c r="A7" s="6">
        <v>46027</v>
      </c>
      <c r="B7" s="16">
        <v>61.76</v>
      </c>
      <c r="C7" s="16">
        <v>58.32</v>
      </c>
      <c r="E7" s="2" t="s">
        <v>234</v>
      </c>
      <c r="F7" s="19">
        <f>B45</f>
        <v>70.75</v>
      </c>
    </row>
    <row r="8" spans="1:6" x14ac:dyDescent="0.2">
      <c r="A8" s="6">
        <v>46028</v>
      </c>
      <c r="B8" s="16">
        <v>60.7</v>
      </c>
      <c r="C8" s="16">
        <v>57.13</v>
      </c>
      <c r="E8" s="2" t="s">
        <v>235</v>
      </c>
      <c r="F8" s="15">
        <f>B206/B45-1</f>
        <v>0.48014134275618381</v>
      </c>
    </row>
    <row r="9" spans="1:6" x14ac:dyDescent="0.2">
      <c r="A9" s="6">
        <v>46029</v>
      </c>
      <c r="B9" s="16">
        <v>59.96</v>
      </c>
      <c r="C9" s="16">
        <v>55.99</v>
      </c>
      <c r="E9" s="2" t="s">
        <v>236</v>
      </c>
      <c r="F9" s="19">
        <f>MAX(B5:B206)</f>
        <v>118.35</v>
      </c>
    </row>
    <row r="10" spans="1:6" x14ac:dyDescent="0.2">
      <c r="A10" s="6">
        <v>46030</v>
      </c>
      <c r="B10" s="16">
        <v>61.99</v>
      </c>
      <c r="C10" s="16">
        <v>57.76</v>
      </c>
    </row>
    <row r="11" spans="1:6" x14ac:dyDescent="0.2">
      <c r="A11" s="6">
        <v>46031</v>
      </c>
      <c r="B11" s="16">
        <v>63.34</v>
      </c>
      <c r="C11" s="16">
        <v>59.12</v>
      </c>
    </row>
    <row r="12" spans="1:6" x14ac:dyDescent="0.2">
      <c r="A12" s="6">
        <v>46034</v>
      </c>
      <c r="B12" s="16">
        <v>63.87</v>
      </c>
      <c r="C12" s="16">
        <v>59.5</v>
      </c>
    </row>
    <row r="13" spans="1:6" x14ac:dyDescent="0.2">
      <c r="A13" s="6">
        <v>46035</v>
      </c>
      <c r="B13" s="16">
        <v>65.47</v>
      </c>
      <c r="C13" s="16">
        <v>61.15</v>
      </c>
    </row>
    <row r="14" spans="1:6" x14ac:dyDescent="0.2">
      <c r="A14" s="6">
        <v>46036</v>
      </c>
      <c r="B14" s="16">
        <v>66.52</v>
      </c>
      <c r="C14" s="16">
        <v>62.02</v>
      </c>
    </row>
    <row r="15" spans="1:6" x14ac:dyDescent="0.2">
      <c r="A15" s="6">
        <v>46037</v>
      </c>
      <c r="B15" s="16">
        <v>63.76</v>
      </c>
      <c r="C15" s="16">
        <v>59.19</v>
      </c>
    </row>
    <row r="16" spans="1:6" x14ac:dyDescent="0.2">
      <c r="A16" s="6">
        <v>46038</v>
      </c>
      <c r="B16" s="16">
        <v>64.13</v>
      </c>
      <c r="C16" s="16">
        <v>59.44</v>
      </c>
    </row>
    <row r="17" spans="1:3" x14ac:dyDescent="0.2">
      <c r="A17" s="6">
        <v>46041</v>
      </c>
      <c r="B17" s="16">
        <v>63.94</v>
      </c>
    </row>
    <row r="18" spans="1:3" x14ac:dyDescent="0.2">
      <c r="A18" s="6">
        <v>46042</v>
      </c>
      <c r="B18" s="16">
        <v>64.92</v>
      </c>
      <c r="C18" s="16">
        <v>60.34</v>
      </c>
    </row>
    <row r="19" spans="1:3" x14ac:dyDescent="0.2">
      <c r="A19" s="6">
        <v>46043</v>
      </c>
      <c r="B19" s="16">
        <v>65.239999999999995</v>
      </c>
      <c r="C19" s="16">
        <v>60.62</v>
      </c>
    </row>
    <row r="20" spans="1:3" x14ac:dyDescent="0.2">
      <c r="A20" s="6">
        <v>46044</v>
      </c>
      <c r="B20" s="16">
        <v>64.06</v>
      </c>
      <c r="C20" s="16">
        <v>59.36</v>
      </c>
    </row>
    <row r="21" spans="1:3" x14ac:dyDescent="0.2">
      <c r="A21" s="6">
        <v>46045</v>
      </c>
      <c r="B21" s="16">
        <v>65.88</v>
      </c>
      <c r="C21" s="16">
        <v>61.07</v>
      </c>
    </row>
    <row r="22" spans="1:3" x14ac:dyDescent="0.2">
      <c r="A22" s="6">
        <v>46048</v>
      </c>
      <c r="B22" s="16">
        <v>65.59</v>
      </c>
      <c r="C22" s="16">
        <v>60.63</v>
      </c>
    </row>
    <row r="23" spans="1:3" x14ac:dyDescent="0.2">
      <c r="A23" s="6">
        <v>46049</v>
      </c>
      <c r="B23" s="16">
        <v>67.569999999999993</v>
      </c>
      <c r="C23" s="16">
        <v>62.39</v>
      </c>
    </row>
    <row r="24" spans="1:3" x14ac:dyDescent="0.2">
      <c r="A24" s="6">
        <v>46050</v>
      </c>
      <c r="B24" s="16">
        <v>68.400000000000006</v>
      </c>
      <c r="C24" s="16">
        <v>63.21</v>
      </c>
    </row>
    <row r="25" spans="1:3" x14ac:dyDescent="0.2">
      <c r="A25" s="6">
        <v>46051</v>
      </c>
      <c r="B25" s="16">
        <v>70.709999999999994</v>
      </c>
      <c r="C25" s="16">
        <v>65.42</v>
      </c>
    </row>
    <row r="26" spans="1:3" x14ac:dyDescent="0.2">
      <c r="A26" s="6">
        <v>46052</v>
      </c>
      <c r="B26" s="16">
        <v>70.69</v>
      </c>
      <c r="C26" s="16">
        <v>65.209999999999994</v>
      </c>
    </row>
    <row r="27" spans="1:3" x14ac:dyDescent="0.2">
      <c r="A27" s="6">
        <v>46055</v>
      </c>
      <c r="B27" s="16">
        <v>66.3</v>
      </c>
      <c r="C27" s="16">
        <v>62.14</v>
      </c>
    </row>
    <row r="28" spans="1:3" x14ac:dyDescent="0.2">
      <c r="A28" s="6">
        <v>46056</v>
      </c>
      <c r="B28" s="16">
        <v>67.33</v>
      </c>
      <c r="C28" s="16">
        <v>63.21</v>
      </c>
    </row>
    <row r="29" spans="1:3" x14ac:dyDescent="0.2">
      <c r="A29" s="6">
        <v>46057</v>
      </c>
      <c r="B29" s="16">
        <v>69.459999999999994</v>
      </c>
      <c r="C29" s="16">
        <v>65.14</v>
      </c>
    </row>
    <row r="30" spans="1:3" x14ac:dyDescent="0.2">
      <c r="A30" s="6">
        <v>46058</v>
      </c>
      <c r="B30" s="16">
        <v>67.55</v>
      </c>
      <c r="C30" s="16">
        <v>63.29</v>
      </c>
    </row>
    <row r="31" spans="1:3" x14ac:dyDescent="0.2">
      <c r="A31" s="6">
        <v>46059</v>
      </c>
      <c r="B31" s="16">
        <v>68.05</v>
      </c>
      <c r="C31" s="16">
        <v>63.55</v>
      </c>
    </row>
    <row r="32" spans="1:3" x14ac:dyDescent="0.2">
      <c r="A32" s="6">
        <v>46062</v>
      </c>
      <c r="B32" s="16">
        <v>69.040000000000006</v>
      </c>
      <c r="C32" s="16">
        <v>64.36</v>
      </c>
    </row>
    <row r="33" spans="1:3" x14ac:dyDescent="0.2">
      <c r="A33" s="6">
        <v>46063</v>
      </c>
      <c r="B33" s="16">
        <v>68.8</v>
      </c>
      <c r="C33" s="16">
        <v>63.96</v>
      </c>
    </row>
    <row r="34" spans="1:3" x14ac:dyDescent="0.2">
      <c r="A34" s="6">
        <v>46064</v>
      </c>
      <c r="B34" s="16">
        <v>69.400000000000006</v>
      </c>
      <c r="C34" s="16">
        <v>64.63</v>
      </c>
    </row>
    <row r="35" spans="1:3" x14ac:dyDescent="0.2">
      <c r="A35" s="6">
        <v>46065</v>
      </c>
      <c r="B35" s="16">
        <v>67.52</v>
      </c>
      <c r="C35" s="16">
        <v>62.84</v>
      </c>
    </row>
    <row r="36" spans="1:3" x14ac:dyDescent="0.2">
      <c r="A36" s="6">
        <v>46066</v>
      </c>
      <c r="B36" s="16">
        <v>67.75</v>
      </c>
      <c r="C36" s="16">
        <v>62.89</v>
      </c>
    </row>
    <row r="37" spans="1:3" x14ac:dyDescent="0.2">
      <c r="A37" s="6">
        <v>46069</v>
      </c>
      <c r="B37" s="16">
        <v>68.650000000000006</v>
      </c>
    </row>
    <row r="38" spans="1:3" x14ac:dyDescent="0.2">
      <c r="A38" s="6">
        <v>46070</v>
      </c>
      <c r="B38" s="16">
        <v>67.42</v>
      </c>
      <c r="C38" s="16">
        <v>62.33</v>
      </c>
    </row>
    <row r="39" spans="1:3" x14ac:dyDescent="0.2">
      <c r="A39" s="6">
        <v>46071</v>
      </c>
      <c r="B39" s="16">
        <v>70.349999999999994</v>
      </c>
      <c r="C39" s="16">
        <v>65.19</v>
      </c>
    </row>
    <row r="40" spans="1:3" x14ac:dyDescent="0.2">
      <c r="A40" s="6">
        <v>46072</v>
      </c>
      <c r="B40" s="16">
        <v>71.66</v>
      </c>
      <c r="C40" s="16">
        <v>66.430000000000007</v>
      </c>
    </row>
    <row r="41" spans="1:3" x14ac:dyDescent="0.2">
      <c r="A41" s="6">
        <v>46073</v>
      </c>
      <c r="B41" s="16">
        <v>71.760000000000005</v>
      </c>
      <c r="C41" s="16">
        <v>66.39</v>
      </c>
    </row>
    <row r="42" spans="1:3" x14ac:dyDescent="0.2">
      <c r="A42" s="6">
        <v>46076</v>
      </c>
      <c r="B42" s="16">
        <v>71.489999999999995</v>
      </c>
      <c r="C42" s="16">
        <v>66.31</v>
      </c>
    </row>
    <row r="43" spans="1:3" x14ac:dyDescent="0.2">
      <c r="A43" s="6">
        <v>46077</v>
      </c>
      <c r="B43" s="16">
        <v>70.77</v>
      </c>
      <c r="C43" s="16">
        <v>65.63</v>
      </c>
    </row>
    <row r="44" spans="1:3" x14ac:dyDescent="0.2">
      <c r="A44" s="6">
        <v>46078</v>
      </c>
      <c r="B44" s="16">
        <v>70.849999999999994</v>
      </c>
      <c r="C44" s="16">
        <v>65.42</v>
      </c>
    </row>
    <row r="45" spans="1:3" x14ac:dyDescent="0.2">
      <c r="A45" s="6">
        <v>46079</v>
      </c>
      <c r="B45" s="16">
        <v>70.75</v>
      </c>
      <c r="C45" s="16">
        <v>65.209999999999994</v>
      </c>
    </row>
    <row r="46" spans="1:3" x14ac:dyDescent="0.2">
      <c r="A46" s="6">
        <v>46080</v>
      </c>
      <c r="B46" s="16">
        <v>72.48</v>
      </c>
      <c r="C46" s="16">
        <v>67.02</v>
      </c>
    </row>
    <row r="47" spans="1:3" x14ac:dyDescent="0.2">
      <c r="A47" s="6">
        <v>46083</v>
      </c>
      <c r="B47" s="16">
        <v>77.739999999999995</v>
      </c>
      <c r="C47" s="16">
        <v>71.23</v>
      </c>
    </row>
    <row r="48" spans="1:3" x14ac:dyDescent="0.2">
      <c r="A48" s="6">
        <v>46084</v>
      </c>
      <c r="B48" s="16">
        <v>81.400000000000006</v>
      </c>
      <c r="C48" s="16">
        <v>74.56</v>
      </c>
    </row>
    <row r="49" spans="1:3" x14ac:dyDescent="0.2">
      <c r="A49" s="6">
        <v>46085</v>
      </c>
      <c r="B49" s="16">
        <v>81.400000000000006</v>
      </c>
      <c r="C49" s="16">
        <v>74.66</v>
      </c>
    </row>
    <row r="50" spans="1:3" x14ac:dyDescent="0.2">
      <c r="A50" s="6">
        <v>46086</v>
      </c>
      <c r="B50" s="16">
        <v>85.41</v>
      </c>
      <c r="C50" s="16">
        <v>81.010000000000005</v>
      </c>
    </row>
    <row r="51" spans="1:3" x14ac:dyDescent="0.2">
      <c r="A51" s="6">
        <v>46087</v>
      </c>
      <c r="B51" s="16">
        <v>92.69</v>
      </c>
      <c r="C51" s="16">
        <v>90.9</v>
      </c>
    </row>
    <row r="52" spans="1:3" x14ac:dyDescent="0.2">
      <c r="A52" s="6">
        <v>46090</v>
      </c>
      <c r="B52" s="16">
        <v>98.96</v>
      </c>
      <c r="C52" s="16">
        <v>94.77</v>
      </c>
    </row>
    <row r="53" spans="1:3" x14ac:dyDescent="0.2">
      <c r="A53" s="6">
        <v>46091</v>
      </c>
      <c r="B53" s="16">
        <v>87.8</v>
      </c>
      <c r="C53" s="16">
        <v>83.45</v>
      </c>
    </row>
    <row r="54" spans="1:3" x14ac:dyDescent="0.2">
      <c r="A54" s="6">
        <v>46092</v>
      </c>
      <c r="B54" s="16">
        <v>91.98</v>
      </c>
      <c r="C54" s="16">
        <v>87.25</v>
      </c>
    </row>
    <row r="55" spans="1:3" x14ac:dyDescent="0.2">
      <c r="A55" s="6">
        <v>46093</v>
      </c>
      <c r="B55" s="16">
        <v>100.46</v>
      </c>
      <c r="C55" s="16">
        <v>95.73</v>
      </c>
    </row>
    <row r="56" spans="1:3" x14ac:dyDescent="0.2">
      <c r="A56" s="6">
        <v>46094</v>
      </c>
      <c r="B56" s="16">
        <v>103.14</v>
      </c>
      <c r="C56" s="16">
        <v>98.71</v>
      </c>
    </row>
    <row r="57" spans="1:3" x14ac:dyDescent="0.2">
      <c r="A57" s="6">
        <v>46097</v>
      </c>
      <c r="B57" s="16">
        <v>100.21</v>
      </c>
      <c r="C57" s="16">
        <v>93.5</v>
      </c>
    </row>
    <row r="58" spans="1:3" x14ac:dyDescent="0.2">
      <c r="A58" s="6">
        <v>46098</v>
      </c>
      <c r="B58" s="16">
        <v>103.42</v>
      </c>
      <c r="C58" s="16">
        <v>96.21</v>
      </c>
    </row>
    <row r="59" spans="1:3" x14ac:dyDescent="0.2">
      <c r="A59" s="6">
        <v>46099</v>
      </c>
      <c r="B59" s="16">
        <v>107.38</v>
      </c>
      <c r="C59" s="16">
        <v>96.32</v>
      </c>
    </row>
    <row r="60" spans="1:3" x14ac:dyDescent="0.2">
      <c r="A60" s="6">
        <v>46100</v>
      </c>
      <c r="B60" s="16">
        <v>108.65</v>
      </c>
      <c r="C60" s="16">
        <v>96.14</v>
      </c>
    </row>
    <row r="61" spans="1:3" x14ac:dyDescent="0.2">
      <c r="A61" s="6">
        <v>46101</v>
      </c>
      <c r="B61" s="16">
        <v>112.19</v>
      </c>
      <c r="C61" s="16">
        <v>98.32</v>
      </c>
    </row>
    <row r="62" spans="1:3" x14ac:dyDescent="0.2">
      <c r="A62" s="6">
        <v>46104</v>
      </c>
      <c r="B62" s="16">
        <v>99.94</v>
      </c>
      <c r="C62" s="16">
        <v>88.13</v>
      </c>
    </row>
    <row r="63" spans="1:3" x14ac:dyDescent="0.2">
      <c r="A63" s="6">
        <v>46105</v>
      </c>
      <c r="B63" s="16">
        <v>104.49</v>
      </c>
      <c r="C63" s="16">
        <v>92.35</v>
      </c>
    </row>
    <row r="64" spans="1:3" x14ac:dyDescent="0.2">
      <c r="A64" s="6">
        <v>46106</v>
      </c>
      <c r="B64" s="16">
        <v>102.22</v>
      </c>
      <c r="C64" s="16">
        <v>90.32</v>
      </c>
    </row>
    <row r="65" spans="1:3" x14ac:dyDescent="0.2">
      <c r="A65" s="6">
        <v>46107</v>
      </c>
      <c r="B65" s="16">
        <v>108.01</v>
      </c>
      <c r="C65" s="16">
        <v>94.48</v>
      </c>
    </row>
    <row r="66" spans="1:3" x14ac:dyDescent="0.2">
      <c r="A66" s="6">
        <v>46108</v>
      </c>
      <c r="B66" s="16">
        <v>112.57</v>
      </c>
      <c r="C66" s="16">
        <v>99.64</v>
      </c>
    </row>
    <row r="67" spans="1:3" x14ac:dyDescent="0.2">
      <c r="A67" s="6">
        <v>46111</v>
      </c>
      <c r="B67" s="16">
        <v>112.78</v>
      </c>
      <c r="C67" s="16">
        <v>102.88</v>
      </c>
    </row>
    <row r="68" spans="1:3" x14ac:dyDescent="0.2">
      <c r="A68" s="6">
        <v>46112</v>
      </c>
      <c r="B68" s="16">
        <v>118.35</v>
      </c>
      <c r="C68" s="16">
        <v>101.38</v>
      </c>
    </row>
    <row r="69" spans="1:3" x14ac:dyDescent="0.2">
      <c r="A69" s="6">
        <v>46113</v>
      </c>
      <c r="B69" s="16">
        <v>101.16</v>
      </c>
      <c r="C69" s="16">
        <v>100.12</v>
      </c>
    </row>
    <row r="70" spans="1:3" x14ac:dyDescent="0.2">
      <c r="A70" s="6">
        <v>46114</v>
      </c>
      <c r="B70" s="16">
        <v>109.03</v>
      </c>
      <c r="C70" s="16">
        <v>111.54</v>
      </c>
    </row>
    <row r="71" spans="1:3" x14ac:dyDescent="0.2">
      <c r="A71" s="6">
        <v>46115</v>
      </c>
      <c r="C71" s="16">
        <v>111.54</v>
      </c>
    </row>
    <row r="72" spans="1:3" x14ac:dyDescent="0.2">
      <c r="A72" s="6">
        <v>46118</v>
      </c>
      <c r="B72" s="16">
        <v>109.77</v>
      </c>
      <c r="C72" s="16">
        <v>112.41</v>
      </c>
    </row>
    <row r="73" spans="1:3" x14ac:dyDescent="0.2">
      <c r="A73" s="6">
        <v>46119</v>
      </c>
      <c r="B73" s="16">
        <v>109.27</v>
      </c>
      <c r="C73" s="16">
        <v>112.95</v>
      </c>
    </row>
    <row r="74" spans="1:3" x14ac:dyDescent="0.2">
      <c r="A74" s="6">
        <v>46120</v>
      </c>
      <c r="B74" s="16">
        <v>94.75</v>
      </c>
      <c r="C74" s="16">
        <v>94.41</v>
      </c>
    </row>
    <row r="75" spans="1:3" x14ac:dyDescent="0.2">
      <c r="A75" s="6">
        <v>46121</v>
      </c>
      <c r="B75" s="16">
        <v>95.92</v>
      </c>
      <c r="C75" s="16">
        <v>97.87</v>
      </c>
    </row>
    <row r="76" spans="1:3" x14ac:dyDescent="0.2">
      <c r="A76" s="6">
        <v>46122</v>
      </c>
      <c r="B76" s="16">
        <v>95.2</v>
      </c>
      <c r="C76" s="16">
        <v>96.57</v>
      </c>
    </row>
    <row r="77" spans="1:3" x14ac:dyDescent="0.2">
      <c r="A77" s="6">
        <v>46125</v>
      </c>
      <c r="B77" s="16">
        <v>99.36</v>
      </c>
      <c r="C77" s="16">
        <v>99.08</v>
      </c>
    </row>
    <row r="78" spans="1:3" x14ac:dyDescent="0.2">
      <c r="A78" s="6">
        <v>46126</v>
      </c>
      <c r="B78" s="16">
        <v>94.79</v>
      </c>
      <c r="C78" s="16">
        <v>91.28</v>
      </c>
    </row>
    <row r="79" spans="1:3" x14ac:dyDescent="0.2">
      <c r="A79" s="6">
        <v>46127</v>
      </c>
      <c r="B79" s="16">
        <v>94.93</v>
      </c>
      <c r="C79" s="16">
        <v>91.29</v>
      </c>
    </row>
    <row r="80" spans="1:3" x14ac:dyDescent="0.2">
      <c r="A80" s="6">
        <v>46128</v>
      </c>
      <c r="B80" s="16">
        <v>99.39</v>
      </c>
      <c r="C80" s="16">
        <v>94.69</v>
      </c>
    </row>
    <row r="81" spans="1:3" x14ac:dyDescent="0.2">
      <c r="A81" s="6">
        <v>46129</v>
      </c>
      <c r="B81" s="16">
        <v>90.38</v>
      </c>
      <c r="C81" s="16">
        <v>83.85</v>
      </c>
    </row>
    <row r="82" spans="1:3" x14ac:dyDescent="0.2">
      <c r="A82" s="6">
        <v>46132</v>
      </c>
      <c r="B82" s="16">
        <v>95.48</v>
      </c>
      <c r="C82" s="16">
        <v>89.61</v>
      </c>
    </row>
    <row r="83" spans="1:3" x14ac:dyDescent="0.2">
      <c r="A83" s="6">
        <v>46133</v>
      </c>
      <c r="B83" s="16">
        <v>98.48</v>
      </c>
      <c r="C83" s="16">
        <v>92.13</v>
      </c>
    </row>
    <row r="84" spans="1:3" x14ac:dyDescent="0.2">
      <c r="A84" s="6">
        <v>46134</v>
      </c>
      <c r="B84" s="16">
        <v>101.91</v>
      </c>
      <c r="C84" s="16">
        <v>92.96</v>
      </c>
    </row>
    <row r="85" spans="1:3" x14ac:dyDescent="0.2">
      <c r="A85" s="6">
        <v>46135</v>
      </c>
      <c r="B85" s="16">
        <v>105.07</v>
      </c>
      <c r="C85" s="16">
        <v>95.85</v>
      </c>
    </row>
    <row r="86" spans="1:3" x14ac:dyDescent="0.2">
      <c r="A86" s="6">
        <v>46136</v>
      </c>
      <c r="B86" s="16">
        <v>105.33</v>
      </c>
      <c r="C86" s="16">
        <v>94.4</v>
      </c>
    </row>
    <row r="87" spans="1:3" x14ac:dyDescent="0.2">
      <c r="A87" s="6">
        <v>46139</v>
      </c>
      <c r="B87" s="16">
        <v>108.23</v>
      </c>
      <c r="C87" s="16">
        <v>96.37</v>
      </c>
    </row>
    <row r="88" spans="1:3" x14ac:dyDescent="0.2">
      <c r="A88" s="6">
        <v>46140</v>
      </c>
      <c r="B88" s="16">
        <v>111.26</v>
      </c>
      <c r="C88" s="16">
        <v>99.93</v>
      </c>
    </row>
    <row r="89" spans="1:3" x14ac:dyDescent="0.2">
      <c r="A89" s="6">
        <v>46141</v>
      </c>
      <c r="B89" s="16">
        <v>118.03</v>
      </c>
      <c r="C89" s="16">
        <v>106.88</v>
      </c>
    </row>
    <row r="90" spans="1:3" x14ac:dyDescent="0.2">
      <c r="A90" s="6">
        <v>46142</v>
      </c>
      <c r="B90" s="16">
        <v>114.01</v>
      </c>
      <c r="C90" s="16">
        <v>105.07</v>
      </c>
    </row>
    <row r="91" spans="1:3" x14ac:dyDescent="0.2">
      <c r="A91" s="6">
        <v>46143</v>
      </c>
      <c r="B91" s="16">
        <v>108.17</v>
      </c>
      <c r="C91" s="16">
        <v>101.94</v>
      </c>
    </row>
    <row r="92" spans="1:3" x14ac:dyDescent="0.2">
      <c r="A92" s="6">
        <v>46146</v>
      </c>
      <c r="B92" s="16">
        <v>114.44</v>
      </c>
      <c r="C92" s="16">
        <v>106.42</v>
      </c>
    </row>
    <row r="93" spans="1:3" x14ac:dyDescent="0.2">
      <c r="A93" s="6">
        <v>46147</v>
      </c>
      <c r="B93" s="16">
        <v>109.87</v>
      </c>
      <c r="C93" s="16">
        <v>102.27</v>
      </c>
    </row>
    <row r="94" spans="1:3" x14ac:dyDescent="0.2">
      <c r="A94" s="6">
        <v>46148</v>
      </c>
      <c r="B94" s="16">
        <v>101.27</v>
      </c>
      <c r="C94" s="16">
        <v>95.08</v>
      </c>
    </row>
    <row r="95" spans="1:3" x14ac:dyDescent="0.2">
      <c r="A95" s="6">
        <v>46149</v>
      </c>
      <c r="B95" s="16">
        <v>100.06</v>
      </c>
      <c r="C95" s="16">
        <v>94.81</v>
      </c>
    </row>
    <row r="96" spans="1:3" x14ac:dyDescent="0.2">
      <c r="A96" s="6">
        <v>46150</v>
      </c>
      <c r="B96" s="16">
        <v>101.29</v>
      </c>
      <c r="C96" s="16">
        <v>95.42</v>
      </c>
    </row>
    <row r="97" spans="1:3" x14ac:dyDescent="0.2">
      <c r="A97" s="6">
        <v>46153</v>
      </c>
      <c r="B97" s="16">
        <v>104.21</v>
      </c>
      <c r="C97" s="16">
        <v>98.07</v>
      </c>
    </row>
    <row r="98" spans="1:3" x14ac:dyDescent="0.2">
      <c r="A98" s="6">
        <v>46154</v>
      </c>
      <c r="B98" s="16">
        <v>107.77</v>
      </c>
      <c r="C98" s="16">
        <v>102.18</v>
      </c>
    </row>
    <row r="99" spans="1:3" x14ac:dyDescent="0.2">
      <c r="A99" s="6">
        <v>46155</v>
      </c>
      <c r="B99" s="16">
        <v>105.63</v>
      </c>
      <c r="C99" s="16">
        <v>101.02</v>
      </c>
    </row>
    <row r="100" spans="1:3" x14ac:dyDescent="0.2">
      <c r="A100" s="6">
        <v>46156</v>
      </c>
      <c r="B100" s="16">
        <v>105.72</v>
      </c>
      <c r="C100" s="16">
        <v>101.17</v>
      </c>
    </row>
    <row r="101" spans="1:3" x14ac:dyDescent="0.2">
      <c r="A101" s="6">
        <v>46157</v>
      </c>
      <c r="B101" s="16">
        <v>109.26</v>
      </c>
      <c r="C101" s="16">
        <v>105.42</v>
      </c>
    </row>
    <row r="102" spans="1:3" x14ac:dyDescent="0.2">
      <c r="A102" s="6">
        <v>46160</v>
      </c>
      <c r="B102" s="16">
        <v>112.1</v>
      </c>
      <c r="C102" s="16">
        <v>108.66</v>
      </c>
    </row>
    <row r="103" spans="1:3" x14ac:dyDescent="0.2">
      <c r="A103" s="6">
        <v>46161</v>
      </c>
      <c r="B103" s="16">
        <v>111.28</v>
      </c>
      <c r="C103" s="16">
        <v>107.77</v>
      </c>
    </row>
    <row r="104" spans="1:3" x14ac:dyDescent="0.2">
      <c r="A104" s="6">
        <v>46162</v>
      </c>
      <c r="B104" s="16">
        <v>105.02</v>
      </c>
      <c r="C104" s="16">
        <v>98.26</v>
      </c>
    </row>
    <row r="105" spans="1:3" x14ac:dyDescent="0.2">
      <c r="A105" s="6">
        <v>46163</v>
      </c>
      <c r="B105" s="16">
        <v>102.58</v>
      </c>
      <c r="C105" s="16">
        <v>96.35</v>
      </c>
    </row>
    <row r="106" spans="1:3" x14ac:dyDescent="0.2">
      <c r="A106" s="6">
        <v>46164</v>
      </c>
      <c r="B106" s="16">
        <v>103.54</v>
      </c>
      <c r="C106" s="16">
        <v>96.6</v>
      </c>
    </row>
    <row r="107" spans="1:3" x14ac:dyDescent="0.2">
      <c r="A107" s="6">
        <v>46167</v>
      </c>
      <c r="B107" s="16">
        <v>96.14</v>
      </c>
    </row>
    <row r="108" spans="1:3" x14ac:dyDescent="0.2">
      <c r="A108" s="6">
        <v>46168</v>
      </c>
      <c r="B108" s="16">
        <v>99.58</v>
      </c>
      <c r="C108" s="16">
        <v>93.89</v>
      </c>
    </row>
    <row r="109" spans="1:3" x14ac:dyDescent="0.2">
      <c r="A109" s="6">
        <v>46169</v>
      </c>
      <c r="B109" s="16">
        <v>94.29</v>
      </c>
      <c r="C109" s="16">
        <v>88.68</v>
      </c>
    </row>
    <row r="110" spans="1:3" x14ac:dyDescent="0.2">
      <c r="A110" s="6">
        <v>46170</v>
      </c>
      <c r="B110" s="16">
        <v>93.71</v>
      </c>
      <c r="C110" s="16">
        <v>88.9</v>
      </c>
    </row>
    <row r="111" spans="1:3" x14ac:dyDescent="0.2">
      <c r="A111" s="6">
        <v>46171</v>
      </c>
      <c r="B111" s="16">
        <v>92.05</v>
      </c>
      <c r="C111" s="16">
        <v>87.36</v>
      </c>
    </row>
    <row r="112" spans="1:3" x14ac:dyDescent="0.2">
      <c r="A112" s="6">
        <v>46174</v>
      </c>
      <c r="B112" s="16">
        <v>94.98</v>
      </c>
      <c r="C112" s="16">
        <v>92.16</v>
      </c>
    </row>
    <row r="113" spans="1:3" x14ac:dyDescent="0.2">
      <c r="A113" s="6">
        <v>46175</v>
      </c>
      <c r="B113" s="16">
        <v>96</v>
      </c>
      <c r="C113" s="16">
        <v>93.76</v>
      </c>
    </row>
    <row r="114" spans="1:3" x14ac:dyDescent="0.2">
      <c r="A114" s="6">
        <v>46176</v>
      </c>
      <c r="B114" s="16">
        <v>97.81</v>
      </c>
      <c r="C114" s="16">
        <v>96.02</v>
      </c>
    </row>
    <row r="115" spans="1:3" x14ac:dyDescent="0.2">
      <c r="A115" s="6">
        <v>46177</v>
      </c>
      <c r="B115" s="16">
        <v>95.03</v>
      </c>
      <c r="C115" s="16">
        <v>93.04</v>
      </c>
    </row>
    <row r="116" spans="1:3" x14ac:dyDescent="0.2">
      <c r="A116" s="6">
        <v>46178</v>
      </c>
      <c r="B116" s="16">
        <v>93.09</v>
      </c>
      <c r="C116" s="16">
        <v>90.54</v>
      </c>
    </row>
    <row r="117" spans="1:3" x14ac:dyDescent="0.2">
      <c r="A117" s="6">
        <v>46181</v>
      </c>
      <c r="B117" s="16">
        <v>94.25</v>
      </c>
      <c r="C117" s="16">
        <v>91.3</v>
      </c>
    </row>
    <row r="118" spans="1:3" x14ac:dyDescent="0.2">
      <c r="A118" s="6">
        <v>46182</v>
      </c>
      <c r="B118" s="16">
        <v>91.45</v>
      </c>
      <c r="C118" s="16">
        <v>88.2</v>
      </c>
    </row>
    <row r="119" spans="1:3" x14ac:dyDescent="0.2">
      <c r="A119" s="6">
        <v>46183</v>
      </c>
      <c r="B119" s="16">
        <v>93.1</v>
      </c>
      <c r="C119" s="16">
        <v>90.03</v>
      </c>
    </row>
    <row r="120" spans="1:3" x14ac:dyDescent="0.2">
      <c r="A120" s="6">
        <v>46184</v>
      </c>
      <c r="B120" s="16">
        <v>90.38</v>
      </c>
      <c r="C120" s="16">
        <v>87.71</v>
      </c>
    </row>
    <row r="121" spans="1:3" x14ac:dyDescent="0.2">
      <c r="A121" s="6">
        <v>46185</v>
      </c>
      <c r="B121" s="16">
        <v>87.33</v>
      </c>
      <c r="C121" s="16">
        <v>84.88</v>
      </c>
    </row>
    <row r="122" spans="1:3" x14ac:dyDescent="0.2">
      <c r="A122" s="6">
        <v>46188</v>
      </c>
      <c r="B122" s="16">
        <v>83.17</v>
      </c>
      <c r="C122" s="16">
        <v>80.75</v>
      </c>
    </row>
    <row r="123" spans="1:3" x14ac:dyDescent="0.2">
      <c r="A123" s="6">
        <v>46189</v>
      </c>
      <c r="B123" s="16">
        <v>78.959999999999994</v>
      </c>
      <c r="C123" s="16">
        <v>76.05</v>
      </c>
    </row>
    <row r="124" spans="1:3" x14ac:dyDescent="0.2">
      <c r="A124" s="6">
        <v>46190</v>
      </c>
      <c r="B124" s="16">
        <v>79.55</v>
      </c>
      <c r="C124" s="16">
        <v>76.790000000000006</v>
      </c>
    </row>
    <row r="125" spans="1:3" x14ac:dyDescent="0.2">
      <c r="A125" s="6">
        <v>46191</v>
      </c>
      <c r="B125" s="16">
        <v>79.849999999999994</v>
      </c>
      <c r="C125" s="16">
        <v>76.599999999999994</v>
      </c>
    </row>
    <row r="126" spans="1:3" x14ac:dyDescent="0.2">
      <c r="A126" s="6">
        <v>46192</v>
      </c>
      <c r="B126" s="16">
        <v>80.569999999999993</v>
      </c>
    </row>
    <row r="127" spans="1:3" x14ac:dyDescent="0.2">
      <c r="A127" s="6">
        <v>46195</v>
      </c>
      <c r="B127" s="16">
        <v>77.900000000000006</v>
      </c>
      <c r="C127" s="16">
        <v>74.819999999999993</v>
      </c>
    </row>
    <row r="128" spans="1:3" x14ac:dyDescent="0.2">
      <c r="A128" s="6">
        <v>46196</v>
      </c>
      <c r="B128" s="16">
        <v>77.08</v>
      </c>
      <c r="C128" s="16">
        <v>73.209999999999994</v>
      </c>
    </row>
    <row r="129" spans="1:3" x14ac:dyDescent="0.2">
      <c r="A129" s="6">
        <v>46197</v>
      </c>
      <c r="B129" s="16">
        <v>73.739999999999995</v>
      </c>
      <c r="C129" s="16">
        <v>70.34</v>
      </c>
    </row>
    <row r="130" spans="1:3" x14ac:dyDescent="0.2">
      <c r="A130" s="6">
        <v>46198</v>
      </c>
      <c r="B130" s="16">
        <v>75.260000000000005</v>
      </c>
      <c r="C130" s="16">
        <v>71.92</v>
      </c>
    </row>
    <row r="131" spans="1:3" x14ac:dyDescent="0.2">
      <c r="A131" s="6">
        <v>46199</v>
      </c>
      <c r="B131" s="16">
        <v>71.989999999999995</v>
      </c>
      <c r="C131" s="16">
        <v>69.23</v>
      </c>
    </row>
    <row r="132" spans="1:3" x14ac:dyDescent="0.2">
      <c r="A132" s="6">
        <v>46202</v>
      </c>
      <c r="B132" s="16">
        <v>73.150000000000006</v>
      </c>
      <c r="C132" s="16">
        <v>70.75</v>
      </c>
    </row>
    <row r="133" spans="1:3" x14ac:dyDescent="0.2">
      <c r="A133" s="6">
        <v>46203</v>
      </c>
      <c r="B133" s="16">
        <v>72.92</v>
      </c>
      <c r="C133" s="16">
        <v>69.5</v>
      </c>
    </row>
    <row r="134" spans="1:3" x14ac:dyDescent="0.2">
      <c r="A134" s="6">
        <v>46204</v>
      </c>
      <c r="B134" s="16">
        <v>71.569999999999993</v>
      </c>
      <c r="C134" s="16">
        <v>68.58</v>
      </c>
    </row>
    <row r="135" spans="1:3" x14ac:dyDescent="0.2">
      <c r="A135" s="6">
        <v>46205</v>
      </c>
      <c r="B135" s="16">
        <v>71.8</v>
      </c>
      <c r="C135" s="16">
        <v>68.69</v>
      </c>
    </row>
    <row r="136" spans="1:3" x14ac:dyDescent="0.2">
      <c r="A136" s="6">
        <v>46206</v>
      </c>
      <c r="B136" s="16">
        <v>72.12</v>
      </c>
    </row>
    <row r="137" spans="1:3" x14ac:dyDescent="0.2">
      <c r="A137" s="6">
        <v>46209</v>
      </c>
      <c r="B137" s="16">
        <v>71.989999999999995</v>
      </c>
      <c r="C137" s="16">
        <v>68.55</v>
      </c>
    </row>
    <row r="138" spans="1:3" x14ac:dyDescent="0.2">
      <c r="A138" s="6">
        <v>46210</v>
      </c>
      <c r="B138" s="16">
        <v>74.16</v>
      </c>
      <c r="C138" s="16">
        <v>70.44</v>
      </c>
    </row>
    <row r="139" spans="1:3" x14ac:dyDescent="0.2">
      <c r="A139" s="6">
        <v>46211</v>
      </c>
      <c r="B139" s="16">
        <v>78.02</v>
      </c>
      <c r="C139" s="16">
        <v>73.52</v>
      </c>
    </row>
    <row r="140" spans="1:3" x14ac:dyDescent="0.2">
      <c r="A140" s="6">
        <v>46212</v>
      </c>
      <c r="B140" s="16">
        <v>76.3</v>
      </c>
      <c r="C140" s="16">
        <v>72.08</v>
      </c>
    </row>
    <row r="141" spans="1:3" x14ac:dyDescent="0.2">
      <c r="A141" s="6">
        <v>46213</v>
      </c>
      <c r="B141" s="16">
        <v>76.010000000000005</v>
      </c>
      <c r="C141" s="16">
        <v>71.41</v>
      </c>
    </row>
    <row r="142" spans="1:3" x14ac:dyDescent="0.2">
      <c r="A142" s="6">
        <v>46216</v>
      </c>
      <c r="B142" s="16">
        <v>83.3</v>
      </c>
      <c r="C142" s="16">
        <v>78.14</v>
      </c>
    </row>
    <row r="143" spans="1:3" x14ac:dyDescent="0.2">
      <c r="A143" s="6">
        <v>46217</v>
      </c>
      <c r="B143" s="16">
        <v>84.73</v>
      </c>
      <c r="C143" s="16">
        <v>79.34</v>
      </c>
    </row>
    <row r="144" spans="1:3" x14ac:dyDescent="0.2">
      <c r="A144" s="6">
        <v>46218</v>
      </c>
      <c r="B144" s="16">
        <v>84.95</v>
      </c>
      <c r="C144" s="16">
        <v>79.599999999999994</v>
      </c>
    </row>
    <row r="145" spans="1:3" x14ac:dyDescent="0.2">
      <c r="A145" s="6">
        <v>46219</v>
      </c>
      <c r="B145" s="16">
        <v>84.23</v>
      </c>
      <c r="C145" s="16">
        <v>78.95</v>
      </c>
    </row>
    <row r="146" spans="1:3" x14ac:dyDescent="0.2">
      <c r="A146" s="6">
        <v>46220</v>
      </c>
      <c r="B146" s="16">
        <v>88.1</v>
      </c>
      <c r="C146" s="16">
        <v>82.49</v>
      </c>
    </row>
    <row r="147" spans="1:3" x14ac:dyDescent="0.2">
      <c r="A147" s="6">
        <v>46223</v>
      </c>
      <c r="B147" s="16">
        <v>89.22</v>
      </c>
      <c r="C147" s="16">
        <v>83.23</v>
      </c>
    </row>
    <row r="148" spans="1:3" x14ac:dyDescent="0.2">
      <c r="A148" s="6">
        <v>46224</v>
      </c>
      <c r="B148" s="16">
        <v>91.01</v>
      </c>
      <c r="C148" s="16">
        <v>84.91</v>
      </c>
    </row>
    <row r="149" spans="1:3" x14ac:dyDescent="0.2">
      <c r="A149" s="6">
        <v>46225</v>
      </c>
      <c r="B149" s="16">
        <v>94.07</v>
      </c>
      <c r="C149" s="16">
        <v>86.83</v>
      </c>
    </row>
    <row r="150" spans="1:3" x14ac:dyDescent="0.2">
      <c r="A150" s="6">
        <v>46226</v>
      </c>
      <c r="B150" s="16">
        <v>100.69</v>
      </c>
      <c r="C150" s="16">
        <v>92.19</v>
      </c>
    </row>
    <row r="151" spans="1:3" x14ac:dyDescent="0.2">
      <c r="A151" s="6">
        <v>46227</v>
      </c>
      <c r="B151" s="16">
        <v>96.78</v>
      </c>
      <c r="C151" s="16">
        <v>89.31</v>
      </c>
    </row>
    <row r="152" spans="1:3" x14ac:dyDescent="0.2">
      <c r="A152" s="6">
        <v>46230</v>
      </c>
      <c r="B152" s="16">
        <v>88.36</v>
      </c>
      <c r="C152" s="16">
        <v>82.61</v>
      </c>
    </row>
    <row r="153" spans="1:3" x14ac:dyDescent="0.2">
      <c r="A153" s="6">
        <v>46231</v>
      </c>
      <c r="B153" s="16">
        <v>84.09</v>
      </c>
      <c r="C153" s="16">
        <v>79.260000000000005</v>
      </c>
    </row>
    <row r="154" spans="1:3" x14ac:dyDescent="0.2">
      <c r="A154" s="6">
        <v>46232</v>
      </c>
      <c r="B154" s="16">
        <v>90.74</v>
      </c>
      <c r="C154" s="16">
        <v>84.46</v>
      </c>
    </row>
    <row r="155" spans="1:3" x14ac:dyDescent="0.2">
      <c r="A155" s="6">
        <v>46233</v>
      </c>
      <c r="B155" s="16">
        <v>89.03</v>
      </c>
      <c r="C155" s="16">
        <v>83.59</v>
      </c>
    </row>
    <row r="156" spans="1:3" x14ac:dyDescent="0.2">
      <c r="A156" s="6">
        <v>46234</v>
      </c>
      <c r="B156" s="16">
        <v>90.12</v>
      </c>
      <c r="C156" s="16">
        <v>84.67</v>
      </c>
    </row>
    <row r="157" spans="1:3" x14ac:dyDescent="0.2">
      <c r="A157" s="6">
        <v>46237</v>
      </c>
      <c r="B157" s="16">
        <v>83.77</v>
      </c>
      <c r="C157" s="16">
        <v>80.34</v>
      </c>
    </row>
    <row r="158" spans="1:3" x14ac:dyDescent="0.2">
      <c r="A158" s="6">
        <v>46238</v>
      </c>
      <c r="B158" s="16">
        <v>79.36</v>
      </c>
      <c r="C158" s="16">
        <v>75.77</v>
      </c>
    </row>
    <row r="159" spans="1:3" x14ac:dyDescent="0.2">
      <c r="A159" s="6">
        <v>46239</v>
      </c>
      <c r="B159" s="16">
        <v>79.45</v>
      </c>
      <c r="C159" s="16">
        <v>75.22</v>
      </c>
    </row>
    <row r="160" spans="1:3" x14ac:dyDescent="0.2">
      <c r="A160" s="6">
        <v>46240</v>
      </c>
      <c r="B160" s="16">
        <v>82.49</v>
      </c>
      <c r="C160" s="16">
        <v>77.290000000000006</v>
      </c>
    </row>
    <row r="161" spans="1:3" x14ac:dyDescent="0.2">
      <c r="A161" s="6">
        <v>46241</v>
      </c>
      <c r="B161" s="16">
        <v>83.55</v>
      </c>
      <c r="C161" s="16">
        <v>78.180000000000007</v>
      </c>
    </row>
    <row r="162" spans="1:3" x14ac:dyDescent="0.2">
      <c r="A162" s="6">
        <v>46244</v>
      </c>
      <c r="B162" s="16">
        <v>87.72</v>
      </c>
      <c r="C162" s="16">
        <v>82.13</v>
      </c>
    </row>
    <row r="163" spans="1:3" x14ac:dyDescent="0.2">
      <c r="A163" s="6">
        <v>46245</v>
      </c>
      <c r="B163" s="16">
        <v>88.91</v>
      </c>
      <c r="C163" s="16">
        <v>83.2</v>
      </c>
    </row>
    <row r="164" spans="1:3" x14ac:dyDescent="0.2">
      <c r="A164" s="6">
        <v>46246</v>
      </c>
      <c r="B164" s="16">
        <v>88.98</v>
      </c>
      <c r="C164" s="16">
        <v>83.27</v>
      </c>
    </row>
    <row r="165" spans="1:3" x14ac:dyDescent="0.2">
      <c r="A165" s="6">
        <v>46247</v>
      </c>
      <c r="B165" s="16">
        <v>87.07</v>
      </c>
      <c r="C165" s="16">
        <v>81.25</v>
      </c>
    </row>
    <row r="166" spans="1:3" x14ac:dyDescent="0.2">
      <c r="A166" s="6">
        <v>46248</v>
      </c>
      <c r="B166" s="16">
        <v>88.52</v>
      </c>
      <c r="C166" s="16">
        <v>82.4</v>
      </c>
    </row>
    <row r="167" spans="1:3" x14ac:dyDescent="0.2">
      <c r="A167" s="6">
        <v>46251</v>
      </c>
      <c r="B167" s="16">
        <v>90.87</v>
      </c>
      <c r="C167" s="16">
        <v>84.5</v>
      </c>
    </row>
    <row r="168" spans="1:3" x14ac:dyDescent="0.2">
      <c r="A168" s="6">
        <v>46252</v>
      </c>
      <c r="B168" s="16">
        <v>91.02</v>
      </c>
      <c r="C168" s="16">
        <v>84.94</v>
      </c>
    </row>
    <row r="169" spans="1:3" x14ac:dyDescent="0.2">
      <c r="A169" s="6">
        <v>46253</v>
      </c>
      <c r="B169" s="16">
        <v>91.62</v>
      </c>
      <c r="C169" s="16">
        <v>85.83</v>
      </c>
    </row>
    <row r="170" spans="1:3" x14ac:dyDescent="0.2">
      <c r="A170" s="6">
        <v>46254</v>
      </c>
      <c r="B170" s="16">
        <v>93.78</v>
      </c>
      <c r="C170" s="16">
        <v>87.83</v>
      </c>
    </row>
    <row r="171" spans="1:3" x14ac:dyDescent="0.2">
      <c r="A171" s="6">
        <v>46255</v>
      </c>
      <c r="B171" s="16">
        <v>94.39</v>
      </c>
      <c r="C171" s="16">
        <v>87.06</v>
      </c>
    </row>
    <row r="172" spans="1:3" x14ac:dyDescent="0.2">
      <c r="A172" s="6">
        <v>46258</v>
      </c>
      <c r="B172" s="16">
        <v>92.17</v>
      </c>
      <c r="C172" s="16">
        <v>85.01</v>
      </c>
    </row>
    <row r="173" spans="1:3" x14ac:dyDescent="0.2">
      <c r="A173" s="6">
        <v>46259</v>
      </c>
      <c r="B173" s="16">
        <v>88.58</v>
      </c>
      <c r="C173" s="16">
        <v>82.36</v>
      </c>
    </row>
    <row r="174" spans="1:3" x14ac:dyDescent="0.2">
      <c r="A174" s="6">
        <v>46260</v>
      </c>
      <c r="B174" s="16">
        <v>87.84</v>
      </c>
      <c r="C174" s="16">
        <v>82.23</v>
      </c>
    </row>
    <row r="175" spans="1:3" x14ac:dyDescent="0.2">
      <c r="A175" s="6">
        <v>46261</v>
      </c>
      <c r="B175" s="16">
        <v>89.7</v>
      </c>
      <c r="C175" s="16">
        <v>83.53</v>
      </c>
    </row>
    <row r="176" spans="1:3" x14ac:dyDescent="0.2">
      <c r="A176" s="6">
        <v>46262</v>
      </c>
      <c r="B176" s="16">
        <v>89.31</v>
      </c>
      <c r="C176" s="16">
        <v>83.4</v>
      </c>
    </row>
    <row r="177" spans="1:3" x14ac:dyDescent="0.2">
      <c r="A177" s="6">
        <v>46265</v>
      </c>
      <c r="B177" s="16">
        <v>90.49</v>
      </c>
      <c r="C177" s="16">
        <v>85.76</v>
      </c>
    </row>
    <row r="178" spans="1:3" x14ac:dyDescent="0.2">
      <c r="A178" s="6">
        <v>46266</v>
      </c>
      <c r="B178" s="16">
        <v>94.65</v>
      </c>
      <c r="C178" s="16">
        <v>90.22</v>
      </c>
    </row>
    <row r="179" spans="1:3" x14ac:dyDescent="0.2">
      <c r="A179" s="6">
        <v>46267</v>
      </c>
      <c r="B179" s="16">
        <v>95.63</v>
      </c>
      <c r="C179" s="16">
        <v>91.01</v>
      </c>
    </row>
    <row r="180" spans="1:3" x14ac:dyDescent="0.2">
      <c r="A180" s="6">
        <v>46268</v>
      </c>
      <c r="B180" s="16">
        <v>95.52</v>
      </c>
      <c r="C180" s="16">
        <v>91.3</v>
      </c>
    </row>
    <row r="181" spans="1:3" x14ac:dyDescent="0.2">
      <c r="A181" s="6">
        <v>46269</v>
      </c>
      <c r="B181" s="16">
        <v>96.28</v>
      </c>
      <c r="C181" s="16">
        <v>91.48</v>
      </c>
    </row>
    <row r="182" spans="1:3" x14ac:dyDescent="0.2">
      <c r="A182" s="6">
        <v>46272</v>
      </c>
      <c r="B182" s="16">
        <v>97</v>
      </c>
    </row>
    <row r="183" spans="1:3" x14ac:dyDescent="0.2">
      <c r="A183" s="6">
        <v>46273</v>
      </c>
      <c r="B183" s="16">
        <v>97.92</v>
      </c>
      <c r="C183" s="16">
        <v>93.03</v>
      </c>
    </row>
    <row r="184" spans="1:3" x14ac:dyDescent="0.2">
      <c r="A184" s="6">
        <v>46274</v>
      </c>
      <c r="B184" s="16">
        <v>101.21</v>
      </c>
      <c r="C184" s="16">
        <v>96.05</v>
      </c>
    </row>
    <row r="185" spans="1:3" x14ac:dyDescent="0.2">
      <c r="A185" s="6">
        <v>46275</v>
      </c>
      <c r="B185" s="16">
        <v>107.63</v>
      </c>
      <c r="C185" s="16">
        <v>102.48</v>
      </c>
    </row>
    <row r="186" spans="1:3" x14ac:dyDescent="0.2">
      <c r="A186" s="6">
        <v>46276</v>
      </c>
      <c r="B186" s="16">
        <v>104.61</v>
      </c>
      <c r="C186" s="16">
        <v>100.05</v>
      </c>
    </row>
    <row r="187" spans="1:3" x14ac:dyDescent="0.2">
      <c r="A187" s="6">
        <v>46279</v>
      </c>
      <c r="B187" s="16">
        <v>105.68</v>
      </c>
      <c r="C187" s="16">
        <v>101.39</v>
      </c>
    </row>
    <row r="188" spans="1:3" x14ac:dyDescent="0.2">
      <c r="A188" s="6">
        <v>46280</v>
      </c>
      <c r="B188" s="16">
        <v>108.75</v>
      </c>
      <c r="C188" s="16">
        <v>105.83</v>
      </c>
    </row>
    <row r="189" spans="1:3" x14ac:dyDescent="0.2">
      <c r="A189" s="6">
        <v>46281</v>
      </c>
      <c r="B189" s="16">
        <v>105.83</v>
      </c>
      <c r="C189" s="16">
        <v>102.43</v>
      </c>
    </row>
    <row r="190" spans="1:3" x14ac:dyDescent="0.2">
      <c r="A190" s="6">
        <v>46282</v>
      </c>
      <c r="B190" s="16">
        <v>104.82</v>
      </c>
      <c r="C190" s="16">
        <v>101.91</v>
      </c>
    </row>
    <row r="191" spans="1:3" x14ac:dyDescent="0.2">
      <c r="A191" s="6">
        <v>46283</v>
      </c>
      <c r="B191" s="16">
        <v>103.87</v>
      </c>
      <c r="C191" s="16">
        <v>100.3</v>
      </c>
    </row>
    <row r="192" spans="1:3" x14ac:dyDescent="0.2">
      <c r="A192" s="6">
        <v>46286</v>
      </c>
      <c r="B192" s="16">
        <v>100.34</v>
      </c>
      <c r="C192" s="16">
        <v>95.78</v>
      </c>
    </row>
    <row r="193" spans="1:3" x14ac:dyDescent="0.2">
      <c r="A193" s="6">
        <v>46287</v>
      </c>
      <c r="B193" s="16">
        <v>99.25</v>
      </c>
      <c r="C193" s="16">
        <v>94.59</v>
      </c>
    </row>
    <row r="194" spans="1:3" x14ac:dyDescent="0.2">
      <c r="A194" s="6">
        <v>46288</v>
      </c>
      <c r="B194" s="16">
        <v>103.08</v>
      </c>
      <c r="C194" s="16">
        <v>92.16</v>
      </c>
    </row>
    <row r="195" spans="1:3" x14ac:dyDescent="0.2">
      <c r="A195" s="6">
        <v>46289</v>
      </c>
      <c r="B195" s="16">
        <v>106.6</v>
      </c>
      <c r="C195" s="16">
        <v>94.61</v>
      </c>
    </row>
    <row r="196" spans="1:3" x14ac:dyDescent="0.2">
      <c r="A196" s="6">
        <v>46290</v>
      </c>
      <c r="B196" s="16">
        <v>104.32</v>
      </c>
      <c r="C196" s="16">
        <v>92.41</v>
      </c>
    </row>
    <row r="197" spans="1:3" x14ac:dyDescent="0.2">
      <c r="A197" s="6">
        <v>46293</v>
      </c>
      <c r="B197" s="16">
        <v>105.28</v>
      </c>
      <c r="C197" s="16">
        <v>92.6</v>
      </c>
    </row>
    <row r="198" spans="1:3" x14ac:dyDescent="0.2">
      <c r="A198" s="6">
        <v>46294</v>
      </c>
      <c r="B198" s="16">
        <v>102.59</v>
      </c>
      <c r="C198" s="16">
        <v>89.38</v>
      </c>
    </row>
    <row r="199" spans="1:3" x14ac:dyDescent="0.2">
      <c r="A199" s="6">
        <v>46295</v>
      </c>
      <c r="B199" s="16">
        <v>103.53</v>
      </c>
      <c r="C199" s="16">
        <v>90.42</v>
      </c>
    </row>
    <row r="200" spans="1:3" x14ac:dyDescent="0.2">
      <c r="A200" s="6">
        <v>46296</v>
      </c>
      <c r="B200" s="16">
        <v>102.31</v>
      </c>
      <c r="C200" s="16">
        <v>92.87</v>
      </c>
    </row>
    <row r="201" spans="1:3" x14ac:dyDescent="0.2">
      <c r="A201" s="6">
        <v>46297</v>
      </c>
      <c r="B201" s="16">
        <v>102.25</v>
      </c>
      <c r="C201" s="16">
        <v>91.11</v>
      </c>
    </row>
    <row r="202" spans="1:3" x14ac:dyDescent="0.2">
      <c r="A202" s="6">
        <v>46300</v>
      </c>
      <c r="B202" s="16">
        <v>100.32</v>
      </c>
      <c r="C202" s="16">
        <v>89.43</v>
      </c>
    </row>
    <row r="203" spans="1:3" x14ac:dyDescent="0.2">
      <c r="A203" s="6">
        <v>46301</v>
      </c>
      <c r="B203" s="16">
        <v>100.58</v>
      </c>
      <c r="C203" s="16">
        <v>89.44</v>
      </c>
    </row>
    <row r="204" spans="1:3" x14ac:dyDescent="0.2">
      <c r="A204" s="6">
        <v>46302</v>
      </c>
      <c r="B204" s="16">
        <v>100.2</v>
      </c>
      <c r="C204" s="16">
        <v>88.28</v>
      </c>
    </row>
    <row r="205" spans="1:3" x14ac:dyDescent="0.2">
      <c r="A205" s="6">
        <v>46303</v>
      </c>
      <c r="B205" s="16">
        <v>104.28</v>
      </c>
      <c r="C205" s="16">
        <v>91.49</v>
      </c>
    </row>
    <row r="206" spans="1:3" x14ac:dyDescent="0.2">
      <c r="A206" s="6">
        <v>46304</v>
      </c>
      <c r="B206" s="16">
        <v>104.72</v>
      </c>
      <c r="C206" s="16">
        <v>91.85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26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3" customWidth="1"/>
    <col min="4" max="4" width="22" customWidth="1"/>
    <col min="5" max="5" width="10" customWidth="1"/>
  </cols>
  <sheetData>
    <row r="1" spans="1:5" ht="16" x14ac:dyDescent="0.2">
      <c r="A1" s="1" t="s">
        <v>237</v>
      </c>
    </row>
    <row r="2" spans="1:5" x14ac:dyDescent="0.2">
      <c r="A2" s="4" t="s">
        <v>238</v>
      </c>
    </row>
    <row r="4" spans="1:5" ht="28" x14ac:dyDescent="0.2">
      <c r="A4" s="5" t="s">
        <v>22</v>
      </c>
      <c r="B4" s="5" t="s">
        <v>239</v>
      </c>
    </row>
    <row r="5" spans="1:5" x14ac:dyDescent="0.2">
      <c r="A5" s="6">
        <v>42657</v>
      </c>
      <c r="B5" s="16">
        <v>21.1008</v>
      </c>
      <c r="D5" s="2" t="s">
        <v>240</v>
      </c>
      <c r="E5" s="19">
        <f>B526</f>
        <v>28.776</v>
      </c>
    </row>
    <row r="6" spans="1:5" x14ac:dyDescent="0.2">
      <c r="A6" s="6">
        <v>42664</v>
      </c>
      <c r="B6" s="16">
        <v>21.1554</v>
      </c>
      <c r="D6" s="2" t="s">
        <v>241</v>
      </c>
      <c r="E6" s="19">
        <f>AVERAGE(B5:B526)</f>
        <v>24.675994827586202</v>
      </c>
    </row>
    <row r="7" spans="1:5" x14ac:dyDescent="0.2">
      <c r="A7" s="6">
        <v>42671</v>
      </c>
      <c r="B7" s="16">
        <v>21.211099999999998</v>
      </c>
      <c r="D7" s="2" t="s">
        <v>242</v>
      </c>
      <c r="E7" s="19">
        <f>STDEVP(B5:B526)</f>
        <v>8.3337435841495058</v>
      </c>
    </row>
    <row r="8" spans="1:5" x14ac:dyDescent="0.2">
      <c r="A8" s="6">
        <v>42678</v>
      </c>
      <c r="B8" s="16">
        <v>21.095800000000001</v>
      </c>
      <c r="D8" s="2" t="s">
        <v>243</v>
      </c>
      <c r="E8" s="19">
        <f>(E5-E6)/E7</f>
        <v>0.49197640064326759</v>
      </c>
    </row>
    <row r="9" spans="1:5" x14ac:dyDescent="0.2">
      <c r="A9" s="6">
        <v>42685</v>
      </c>
      <c r="B9" s="16">
        <v>21.890999999999998</v>
      </c>
      <c r="D9" s="2" t="s">
        <v>244</v>
      </c>
      <c r="E9" s="32">
        <f>PERCENTRANK(B5:B526,B526)</f>
        <v>0.7</v>
      </c>
    </row>
    <row r="10" spans="1:5" x14ac:dyDescent="0.2">
      <c r="A10" s="6">
        <v>42692</v>
      </c>
      <c r="B10" s="16">
        <v>22.726400000000002</v>
      </c>
      <c r="D10" s="2" t="s">
        <v>245</v>
      </c>
      <c r="E10" s="19">
        <f>AVERAGE(B266:B526)</f>
        <v>29.150339463601547</v>
      </c>
    </row>
    <row r="11" spans="1:5" x14ac:dyDescent="0.2">
      <c r="A11" s="6">
        <v>42699</v>
      </c>
      <c r="B11" s="16">
        <v>23.158999999999999</v>
      </c>
      <c r="D11" s="2" t="s">
        <v>246</v>
      </c>
      <c r="E11" s="19">
        <f>(E5-E10)/STDEVP(B266:B526)</f>
        <v>-4.3189854185915449E-2</v>
      </c>
    </row>
    <row r="12" spans="1:5" x14ac:dyDescent="0.2">
      <c r="A12" s="6">
        <v>42706</v>
      </c>
      <c r="B12" s="16">
        <v>21.917999999999999</v>
      </c>
      <c r="D12" s="2" t="s">
        <v>247</v>
      </c>
      <c r="E12" s="19">
        <f>MAX(B5:B526)</f>
        <v>45.703899999999997</v>
      </c>
    </row>
    <row r="13" spans="1:5" x14ac:dyDescent="0.2">
      <c r="A13" s="6">
        <v>42713</v>
      </c>
      <c r="B13" s="16">
        <v>23.7028</v>
      </c>
      <c r="D13" s="2" t="s">
        <v>248</v>
      </c>
      <c r="E13" s="19">
        <f>MIN(B5:B526)</f>
        <v>11.986599999999999</v>
      </c>
    </row>
    <row r="14" spans="1:5" x14ac:dyDescent="0.2">
      <c r="A14" s="6">
        <v>42720</v>
      </c>
      <c r="B14" s="16">
        <v>23.905999999999999</v>
      </c>
    </row>
    <row r="15" spans="1:5" x14ac:dyDescent="0.2">
      <c r="A15" s="6">
        <v>42727</v>
      </c>
      <c r="B15" s="16">
        <v>24.1784</v>
      </c>
    </row>
    <row r="16" spans="1:5" x14ac:dyDescent="0.2">
      <c r="A16" s="6">
        <v>42734</v>
      </c>
      <c r="B16" s="16">
        <v>23.619599999999998</v>
      </c>
    </row>
    <row r="17" spans="1:2" x14ac:dyDescent="0.2">
      <c r="A17" s="6">
        <v>42741</v>
      </c>
      <c r="B17" s="16">
        <v>23.696300000000001</v>
      </c>
    </row>
    <row r="18" spans="1:2" x14ac:dyDescent="0.2">
      <c r="A18" s="6">
        <v>42748</v>
      </c>
      <c r="B18" s="16">
        <v>24.062100000000001</v>
      </c>
    </row>
    <row r="19" spans="1:2" x14ac:dyDescent="0.2">
      <c r="A19" s="6">
        <v>42755</v>
      </c>
      <c r="B19" s="16">
        <v>24.189900000000002</v>
      </c>
    </row>
    <row r="20" spans="1:2" x14ac:dyDescent="0.2">
      <c r="A20" s="6">
        <v>42762</v>
      </c>
      <c r="B20" s="16">
        <v>25.122299999999999</v>
      </c>
    </row>
    <row r="21" spans="1:2" x14ac:dyDescent="0.2">
      <c r="A21" s="6">
        <v>42769</v>
      </c>
      <c r="B21" s="16">
        <v>27.729900000000001</v>
      </c>
    </row>
    <row r="22" spans="1:2" x14ac:dyDescent="0.2">
      <c r="A22" s="6">
        <v>42776</v>
      </c>
      <c r="B22" s="16">
        <v>27.964600000000001</v>
      </c>
    </row>
    <row r="23" spans="1:2" x14ac:dyDescent="0.2">
      <c r="A23" s="6">
        <v>42783</v>
      </c>
      <c r="B23" s="16">
        <v>28.7149</v>
      </c>
    </row>
    <row r="24" spans="1:2" x14ac:dyDescent="0.2">
      <c r="A24" s="6">
        <v>42790</v>
      </c>
      <c r="B24" s="16">
        <v>28.613299999999999</v>
      </c>
    </row>
    <row r="25" spans="1:2" x14ac:dyDescent="0.2">
      <c r="A25" s="6">
        <v>42797</v>
      </c>
      <c r="B25" s="16">
        <v>15.3307</v>
      </c>
    </row>
    <row r="26" spans="1:2" x14ac:dyDescent="0.2">
      <c r="A26" s="6">
        <v>42804</v>
      </c>
      <c r="B26" s="16">
        <v>15.5517</v>
      </c>
    </row>
    <row r="27" spans="1:2" x14ac:dyDescent="0.2">
      <c r="A27" s="6">
        <v>42811</v>
      </c>
      <c r="B27" s="16">
        <v>15.6351</v>
      </c>
    </row>
    <row r="28" spans="1:2" x14ac:dyDescent="0.2">
      <c r="A28" s="6">
        <v>42818</v>
      </c>
      <c r="B28" s="16">
        <v>15.1068</v>
      </c>
    </row>
    <row r="29" spans="1:2" x14ac:dyDescent="0.2">
      <c r="A29" s="6">
        <v>42825</v>
      </c>
      <c r="B29" s="16">
        <v>15.170299999999999</v>
      </c>
    </row>
    <row r="30" spans="1:2" x14ac:dyDescent="0.2">
      <c r="A30" s="6">
        <v>42832</v>
      </c>
      <c r="B30" s="16">
        <v>15.018800000000001</v>
      </c>
    </row>
    <row r="31" spans="1:2" x14ac:dyDescent="0.2">
      <c r="A31" s="6">
        <v>42839</v>
      </c>
      <c r="B31" s="16">
        <v>14.4335</v>
      </c>
    </row>
    <row r="32" spans="1:2" x14ac:dyDescent="0.2">
      <c r="A32" s="6">
        <v>42846</v>
      </c>
      <c r="B32" s="16">
        <v>14.846399999999999</v>
      </c>
    </row>
    <row r="33" spans="1:2" x14ac:dyDescent="0.2">
      <c r="A33" s="6">
        <v>42853</v>
      </c>
      <c r="B33" s="16">
        <v>15.163399999999999</v>
      </c>
    </row>
    <row r="34" spans="1:2" x14ac:dyDescent="0.2">
      <c r="A34" s="6">
        <v>42860</v>
      </c>
      <c r="B34" s="16">
        <v>15.3391</v>
      </c>
    </row>
    <row r="35" spans="1:2" x14ac:dyDescent="0.2">
      <c r="A35" s="6">
        <v>42867</v>
      </c>
      <c r="B35" s="16">
        <v>15.8002</v>
      </c>
    </row>
    <row r="36" spans="1:2" x14ac:dyDescent="0.2">
      <c r="A36" s="6">
        <v>42874</v>
      </c>
      <c r="B36" s="16">
        <v>15.8977</v>
      </c>
    </row>
    <row r="37" spans="1:2" x14ac:dyDescent="0.2">
      <c r="A37" s="6">
        <v>42881</v>
      </c>
      <c r="B37" s="16">
        <v>16.225899999999999</v>
      </c>
    </row>
    <row r="38" spans="1:2" x14ac:dyDescent="0.2">
      <c r="A38" s="6">
        <v>42888</v>
      </c>
      <c r="B38" s="16">
        <v>16.6599</v>
      </c>
    </row>
    <row r="39" spans="1:2" x14ac:dyDescent="0.2">
      <c r="A39" s="6">
        <v>42895</v>
      </c>
      <c r="B39" s="16">
        <v>16.425899999999999</v>
      </c>
    </row>
    <row r="40" spans="1:2" x14ac:dyDescent="0.2">
      <c r="A40" s="6">
        <v>42902</v>
      </c>
      <c r="B40" s="16">
        <v>16.078700000000001</v>
      </c>
    </row>
    <row r="41" spans="1:2" x14ac:dyDescent="0.2">
      <c r="A41" s="6">
        <v>42909</v>
      </c>
      <c r="B41" s="16">
        <v>16.498799999999999</v>
      </c>
    </row>
    <row r="42" spans="1:2" x14ac:dyDescent="0.2">
      <c r="A42" s="6">
        <v>42916</v>
      </c>
      <c r="B42" s="16">
        <v>15.454700000000001</v>
      </c>
    </row>
    <row r="43" spans="1:2" x14ac:dyDescent="0.2">
      <c r="A43" s="6">
        <v>42923</v>
      </c>
      <c r="B43" s="16">
        <v>15.7575</v>
      </c>
    </row>
    <row r="44" spans="1:2" x14ac:dyDescent="0.2">
      <c r="A44" s="6">
        <v>42930</v>
      </c>
      <c r="B44" s="16">
        <v>16.486799999999999</v>
      </c>
    </row>
    <row r="45" spans="1:2" x14ac:dyDescent="0.2">
      <c r="A45" s="6">
        <v>42937</v>
      </c>
      <c r="B45" s="16">
        <v>16.644600000000001</v>
      </c>
    </row>
    <row r="46" spans="1:2" x14ac:dyDescent="0.2">
      <c r="A46" s="6">
        <v>42944</v>
      </c>
      <c r="B46" s="16">
        <v>15.8925</v>
      </c>
    </row>
    <row r="47" spans="1:2" x14ac:dyDescent="0.2">
      <c r="A47" s="6">
        <v>42951</v>
      </c>
      <c r="B47" s="16">
        <v>15.8626</v>
      </c>
    </row>
    <row r="48" spans="1:2" x14ac:dyDescent="0.2">
      <c r="A48" s="6">
        <v>42958</v>
      </c>
      <c r="B48" s="16">
        <v>15.577299999999999</v>
      </c>
    </row>
    <row r="49" spans="1:2" x14ac:dyDescent="0.2">
      <c r="A49" s="6">
        <v>42965</v>
      </c>
      <c r="B49" s="16">
        <v>15.605</v>
      </c>
    </row>
    <row r="50" spans="1:2" x14ac:dyDescent="0.2">
      <c r="A50" s="6">
        <v>42972</v>
      </c>
      <c r="B50" s="16">
        <v>15.9864</v>
      </c>
    </row>
    <row r="51" spans="1:2" x14ac:dyDescent="0.2">
      <c r="A51" s="6">
        <v>42979</v>
      </c>
      <c r="B51" s="16">
        <v>16.572099999999999</v>
      </c>
    </row>
    <row r="52" spans="1:2" x14ac:dyDescent="0.2">
      <c r="A52" s="6">
        <v>42986</v>
      </c>
      <c r="B52" s="16">
        <v>16.184699999999999</v>
      </c>
    </row>
    <row r="53" spans="1:2" x14ac:dyDescent="0.2">
      <c r="A53" s="6">
        <v>42993</v>
      </c>
      <c r="B53" s="16">
        <v>16.966200000000001</v>
      </c>
    </row>
    <row r="54" spans="1:2" x14ac:dyDescent="0.2">
      <c r="A54" s="6">
        <v>43000</v>
      </c>
      <c r="B54" s="16">
        <v>16.517900000000001</v>
      </c>
    </row>
    <row r="55" spans="1:2" x14ac:dyDescent="0.2">
      <c r="A55" s="6">
        <v>43007</v>
      </c>
      <c r="B55" s="16">
        <v>16.629000000000001</v>
      </c>
    </row>
    <row r="56" spans="1:2" x14ac:dyDescent="0.2">
      <c r="A56" s="6">
        <v>43014</v>
      </c>
      <c r="B56" s="16">
        <v>16.9056</v>
      </c>
    </row>
    <row r="57" spans="1:2" x14ac:dyDescent="0.2">
      <c r="A57" s="6">
        <v>43021</v>
      </c>
      <c r="B57" s="16">
        <v>17.283799999999999</v>
      </c>
    </row>
    <row r="58" spans="1:2" x14ac:dyDescent="0.2">
      <c r="A58" s="6">
        <v>43028</v>
      </c>
      <c r="B58" s="16">
        <v>17.382999999999999</v>
      </c>
    </row>
    <row r="59" spans="1:2" x14ac:dyDescent="0.2">
      <c r="A59" s="6">
        <v>43035</v>
      </c>
      <c r="B59" s="16">
        <v>17.769600000000001</v>
      </c>
    </row>
    <row r="60" spans="1:2" x14ac:dyDescent="0.2">
      <c r="A60" s="6">
        <v>43042</v>
      </c>
      <c r="B60" s="16">
        <v>18.495999999999999</v>
      </c>
    </row>
    <row r="61" spans="1:2" x14ac:dyDescent="0.2">
      <c r="A61" s="6">
        <v>43049</v>
      </c>
      <c r="B61" s="16">
        <v>18.546500000000002</v>
      </c>
    </row>
    <row r="62" spans="1:2" x14ac:dyDescent="0.2">
      <c r="A62" s="6">
        <v>43056</v>
      </c>
      <c r="B62" s="16">
        <v>18.579000000000001</v>
      </c>
    </row>
    <row r="63" spans="1:2" x14ac:dyDescent="0.2">
      <c r="A63" s="6">
        <v>43063</v>
      </c>
      <c r="B63" s="16">
        <v>19.073399999999999</v>
      </c>
    </row>
    <row r="64" spans="1:2" x14ac:dyDescent="0.2">
      <c r="A64" s="6">
        <v>43070</v>
      </c>
      <c r="B64" s="16">
        <v>17.888100000000001</v>
      </c>
    </row>
    <row r="65" spans="1:2" x14ac:dyDescent="0.2">
      <c r="A65" s="6">
        <v>43077</v>
      </c>
      <c r="B65" s="16">
        <v>17.855599999999999</v>
      </c>
    </row>
    <row r="66" spans="1:2" x14ac:dyDescent="0.2">
      <c r="A66" s="6">
        <v>43084</v>
      </c>
      <c r="B66" s="16">
        <v>18.036000000000001</v>
      </c>
    </row>
    <row r="67" spans="1:2" x14ac:dyDescent="0.2">
      <c r="A67" s="6">
        <v>43091</v>
      </c>
      <c r="B67" s="16">
        <v>18.6402</v>
      </c>
    </row>
    <row r="68" spans="1:2" x14ac:dyDescent="0.2">
      <c r="A68" s="6">
        <v>43098</v>
      </c>
      <c r="B68" s="16">
        <v>18.368600000000001</v>
      </c>
    </row>
    <row r="69" spans="1:2" x14ac:dyDescent="0.2">
      <c r="A69" s="6">
        <v>43105</v>
      </c>
      <c r="B69" s="16">
        <v>19.4267</v>
      </c>
    </row>
    <row r="70" spans="1:2" x14ac:dyDescent="0.2">
      <c r="A70" s="6">
        <v>43112</v>
      </c>
      <c r="B70" s="16">
        <v>19.369900000000001</v>
      </c>
    </row>
    <row r="71" spans="1:2" x14ac:dyDescent="0.2">
      <c r="A71" s="6">
        <v>43119</v>
      </c>
      <c r="B71" s="16">
        <v>20.059899999999999</v>
      </c>
    </row>
    <row r="72" spans="1:2" x14ac:dyDescent="0.2">
      <c r="A72" s="6">
        <v>43126</v>
      </c>
      <c r="B72" s="16">
        <v>20.267199999999999</v>
      </c>
    </row>
    <row r="73" spans="1:2" x14ac:dyDescent="0.2">
      <c r="A73" s="6">
        <v>43133</v>
      </c>
      <c r="B73" s="16">
        <v>20.0502</v>
      </c>
    </row>
    <row r="74" spans="1:2" x14ac:dyDescent="0.2">
      <c r="A74" s="6">
        <v>43140</v>
      </c>
      <c r="B74" s="16">
        <v>19.246700000000001</v>
      </c>
    </row>
    <row r="75" spans="1:2" x14ac:dyDescent="0.2">
      <c r="A75" s="6">
        <v>43147</v>
      </c>
      <c r="B75" s="16">
        <v>20.168399999999998</v>
      </c>
    </row>
    <row r="76" spans="1:2" x14ac:dyDescent="0.2">
      <c r="A76" s="6">
        <v>43154</v>
      </c>
      <c r="B76" s="16">
        <v>20.680499999999999</v>
      </c>
    </row>
    <row r="77" spans="1:2" x14ac:dyDescent="0.2">
      <c r="A77" s="6">
        <v>43161</v>
      </c>
      <c r="B77" s="16">
        <v>20.863499999999998</v>
      </c>
    </row>
    <row r="78" spans="1:2" x14ac:dyDescent="0.2">
      <c r="A78" s="6">
        <v>43168</v>
      </c>
      <c r="B78" s="16">
        <v>21.904499999999999</v>
      </c>
    </row>
    <row r="79" spans="1:2" x14ac:dyDescent="0.2">
      <c r="A79" s="6">
        <v>43175</v>
      </c>
      <c r="B79" s="16">
        <v>22.058</v>
      </c>
    </row>
    <row r="80" spans="1:2" x14ac:dyDescent="0.2">
      <c r="A80" s="6">
        <v>43182</v>
      </c>
      <c r="B80" s="16">
        <v>20.544899999999998</v>
      </c>
    </row>
    <row r="81" spans="1:2" x14ac:dyDescent="0.2">
      <c r="A81" s="6">
        <v>43189</v>
      </c>
      <c r="B81" s="16">
        <v>20.618400000000001</v>
      </c>
    </row>
    <row r="82" spans="1:2" x14ac:dyDescent="0.2">
      <c r="A82" s="6">
        <v>43196</v>
      </c>
      <c r="B82" s="16">
        <v>19.630800000000001</v>
      </c>
    </row>
    <row r="83" spans="1:2" x14ac:dyDescent="0.2">
      <c r="A83" s="6">
        <v>43203</v>
      </c>
      <c r="B83" s="16">
        <v>20.625900000000001</v>
      </c>
    </row>
    <row r="84" spans="1:2" x14ac:dyDescent="0.2">
      <c r="A84" s="6">
        <v>43210</v>
      </c>
      <c r="B84" s="16">
        <v>19.7012</v>
      </c>
    </row>
    <row r="85" spans="1:2" x14ac:dyDescent="0.2">
      <c r="A85" s="6">
        <v>43217</v>
      </c>
      <c r="B85" s="16">
        <v>13.5258</v>
      </c>
    </row>
    <row r="86" spans="1:2" x14ac:dyDescent="0.2">
      <c r="A86" s="6">
        <v>43224</v>
      </c>
      <c r="B86" s="16">
        <v>14.1531</v>
      </c>
    </row>
    <row r="87" spans="1:2" x14ac:dyDescent="0.2">
      <c r="A87" s="6">
        <v>43231</v>
      </c>
      <c r="B87" s="16">
        <v>14.7471</v>
      </c>
    </row>
    <row r="88" spans="1:2" x14ac:dyDescent="0.2">
      <c r="A88" s="6">
        <v>43238</v>
      </c>
      <c r="B88" s="16">
        <v>14.6762</v>
      </c>
    </row>
    <row r="89" spans="1:2" x14ac:dyDescent="0.2">
      <c r="A89" s="6">
        <v>43245</v>
      </c>
      <c r="B89" s="16">
        <v>14.9564</v>
      </c>
    </row>
    <row r="90" spans="1:2" x14ac:dyDescent="0.2">
      <c r="A90" s="6">
        <v>43252</v>
      </c>
      <c r="B90" s="16">
        <v>15.107200000000001</v>
      </c>
    </row>
    <row r="91" spans="1:2" x14ac:dyDescent="0.2">
      <c r="A91" s="6">
        <v>43259</v>
      </c>
      <c r="B91" s="16">
        <v>15.203099999999999</v>
      </c>
    </row>
    <row r="92" spans="1:2" x14ac:dyDescent="0.2">
      <c r="A92" s="6">
        <v>43266</v>
      </c>
      <c r="B92" s="16">
        <v>15.155099999999999</v>
      </c>
    </row>
    <row r="93" spans="1:2" x14ac:dyDescent="0.2">
      <c r="A93" s="6">
        <v>43273</v>
      </c>
      <c r="B93" s="16">
        <v>14.8912</v>
      </c>
    </row>
    <row r="94" spans="1:2" x14ac:dyDescent="0.2">
      <c r="A94" s="6">
        <v>43280</v>
      </c>
      <c r="B94" s="16">
        <v>14.2628</v>
      </c>
    </row>
    <row r="95" spans="1:2" x14ac:dyDescent="0.2">
      <c r="A95" s="6">
        <v>43287</v>
      </c>
      <c r="B95" s="16">
        <v>14.6601</v>
      </c>
    </row>
    <row r="96" spans="1:2" x14ac:dyDescent="0.2">
      <c r="A96" s="6">
        <v>43294</v>
      </c>
      <c r="B96" s="16">
        <v>14.5685</v>
      </c>
    </row>
    <row r="97" spans="1:2" x14ac:dyDescent="0.2">
      <c r="A97" s="6">
        <v>43301</v>
      </c>
      <c r="B97" s="16">
        <v>14.760999999999999</v>
      </c>
    </row>
    <row r="98" spans="1:2" x14ac:dyDescent="0.2">
      <c r="A98" s="6">
        <v>43308</v>
      </c>
      <c r="B98" s="16">
        <v>14.9963</v>
      </c>
    </row>
    <row r="99" spans="1:2" x14ac:dyDescent="0.2">
      <c r="A99" s="6">
        <v>43315</v>
      </c>
      <c r="B99" s="16">
        <v>15.1381</v>
      </c>
    </row>
    <row r="100" spans="1:2" x14ac:dyDescent="0.2">
      <c r="A100" s="6">
        <v>43322</v>
      </c>
      <c r="B100" s="16">
        <v>14.853</v>
      </c>
    </row>
    <row r="101" spans="1:2" x14ac:dyDescent="0.2">
      <c r="A101" s="6">
        <v>43329</v>
      </c>
      <c r="B101" s="16">
        <v>14.576599999999999</v>
      </c>
    </row>
    <row r="102" spans="1:2" x14ac:dyDescent="0.2">
      <c r="A102" s="6">
        <v>43336</v>
      </c>
      <c r="B102" s="16">
        <v>15.1509</v>
      </c>
    </row>
    <row r="103" spans="1:2" x14ac:dyDescent="0.2">
      <c r="A103" s="6">
        <v>43343</v>
      </c>
      <c r="B103" s="16">
        <v>15.4245</v>
      </c>
    </row>
    <row r="104" spans="1:2" x14ac:dyDescent="0.2">
      <c r="A104" s="6">
        <v>43350</v>
      </c>
      <c r="B104" s="16">
        <v>15.1411</v>
      </c>
    </row>
    <row r="105" spans="1:2" x14ac:dyDescent="0.2">
      <c r="A105" s="6">
        <v>43357</v>
      </c>
      <c r="B105" s="16">
        <v>15.339499999999999</v>
      </c>
    </row>
    <row r="106" spans="1:2" x14ac:dyDescent="0.2">
      <c r="A106" s="6">
        <v>43364</v>
      </c>
      <c r="B106" s="16">
        <v>15.414</v>
      </c>
    </row>
    <row r="107" spans="1:2" x14ac:dyDescent="0.2">
      <c r="A107" s="6">
        <v>43371</v>
      </c>
      <c r="B107" s="16">
        <v>14.3256</v>
      </c>
    </row>
    <row r="108" spans="1:2" x14ac:dyDescent="0.2">
      <c r="A108" s="6">
        <v>43378</v>
      </c>
      <c r="B108" s="16">
        <v>13.803599999999999</v>
      </c>
    </row>
    <row r="109" spans="1:2" x14ac:dyDescent="0.2">
      <c r="A109" s="6">
        <v>43385</v>
      </c>
      <c r="B109" s="16">
        <v>13.157</v>
      </c>
    </row>
    <row r="110" spans="1:2" x14ac:dyDescent="0.2">
      <c r="A110" s="6">
        <v>43392</v>
      </c>
      <c r="B110" s="16">
        <v>12.871</v>
      </c>
    </row>
    <row r="111" spans="1:2" x14ac:dyDescent="0.2">
      <c r="A111" s="6">
        <v>43399</v>
      </c>
      <c r="B111" s="16">
        <v>12.0663</v>
      </c>
    </row>
    <row r="112" spans="1:2" x14ac:dyDescent="0.2">
      <c r="A112" s="6">
        <v>43406</v>
      </c>
      <c r="B112" s="16">
        <v>12.9941</v>
      </c>
    </row>
    <row r="113" spans="1:2" x14ac:dyDescent="0.2">
      <c r="A113" s="6">
        <v>43413</v>
      </c>
      <c r="B113" s="16">
        <v>13.082000000000001</v>
      </c>
    </row>
    <row r="114" spans="1:2" x14ac:dyDescent="0.2">
      <c r="A114" s="6">
        <v>43420</v>
      </c>
      <c r="B114" s="16">
        <v>12.9838</v>
      </c>
    </row>
    <row r="115" spans="1:2" x14ac:dyDescent="0.2">
      <c r="A115" s="6">
        <v>43427</v>
      </c>
      <c r="B115" s="16">
        <v>12.559200000000001</v>
      </c>
    </row>
    <row r="116" spans="1:2" x14ac:dyDescent="0.2">
      <c r="A116" s="6">
        <v>43434</v>
      </c>
      <c r="B116" s="16">
        <v>13.2042</v>
      </c>
    </row>
    <row r="117" spans="1:2" x14ac:dyDescent="0.2">
      <c r="A117" s="6">
        <v>43441</v>
      </c>
      <c r="B117" s="16">
        <v>12.5489</v>
      </c>
    </row>
    <row r="118" spans="1:2" x14ac:dyDescent="0.2">
      <c r="A118" s="6">
        <v>43448</v>
      </c>
      <c r="B118" s="16">
        <v>12.7653</v>
      </c>
    </row>
    <row r="119" spans="1:2" x14ac:dyDescent="0.2">
      <c r="A119" s="6">
        <v>43455</v>
      </c>
      <c r="B119" s="16">
        <v>11.986599999999999</v>
      </c>
    </row>
    <row r="120" spans="1:2" x14ac:dyDescent="0.2">
      <c r="A120" s="6">
        <v>43462</v>
      </c>
      <c r="B120" s="16">
        <v>12.069699999999999</v>
      </c>
    </row>
    <row r="121" spans="1:2" x14ac:dyDescent="0.2">
      <c r="A121" s="6">
        <v>43469</v>
      </c>
      <c r="B121" s="16">
        <v>12.0329</v>
      </c>
    </row>
    <row r="122" spans="1:2" x14ac:dyDescent="0.2">
      <c r="A122" s="6">
        <v>43476</v>
      </c>
      <c r="B122" s="16">
        <v>12.7684</v>
      </c>
    </row>
    <row r="123" spans="1:2" x14ac:dyDescent="0.2">
      <c r="A123" s="6">
        <v>43483</v>
      </c>
      <c r="B123" s="16">
        <v>12.9223</v>
      </c>
    </row>
    <row r="124" spans="1:2" x14ac:dyDescent="0.2">
      <c r="A124" s="6">
        <v>43490</v>
      </c>
      <c r="B124" s="16">
        <v>13.5044</v>
      </c>
    </row>
    <row r="125" spans="1:2" x14ac:dyDescent="0.2">
      <c r="A125" s="6">
        <v>43497</v>
      </c>
      <c r="B125" s="16">
        <v>14.112</v>
      </c>
    </row>
    <row r="126" spans="1:2" x14ac:dyDescent="0.2">
      <c r="A126" s="6">
        <v>43504</v>
      </c>
      <c r="B126" s="16">
        <v>15.010999999999999</v>
      </c>
    </row>
    <row r="127" spans="1:2" x14ac:dyDescent="0.2">
      <c r="A127" s="6">
        <v>43511</v>
      </c>
      <c r="B127" s="16">
        <v>15.611700000000001</v>
      </c>
    </row>
    <row r="128" spans="1:2" x14ac:dyDescent="0.2">
      <c r="A128" s="6">
        <v>43518</v>
      </c>
      <c r="B128" s="16">
        <v>15.7896</v>
      </c>
    </row>
    <row r="129" spans="1:2" x14ac:dyDescent="0.2">
      <c r="A129" s="6">
        <v>43525</v>
      </c>
      <c r="B129" s="16">
        <v>15.772399999999999</v>
      </c>
    </row>
    <row r="130" spans="1:2" x14ac:dyDescent="0.2">
      <c r="A130" s="6">
        <v>43532</v>
      </c>
      <c r="B130" s="16">
        <v>15.278700000000001</v>
      </c>
    </row>
    <row r="131" spans="1:2" x14ac:dyDescent="0.2">
      <c r="A131" s="6">
        <v>43539</v>
      </c>
      <c r="B131" s="16">
        <v>16.294599999999999</v>
      </c>
    </row>
    <row r="132" spans="1:2" x14ac:dyDescent="0.2">
      <c r="A132" s="6">
        <v>43546</v>
      </c>
      <c r="B132" s="16">
        <v>16.411799999999999</v>
      </c>
    </row>
    <row r="133" spans="1:2" x14ac:dyDescent="0.2">
      <c r="A133" s="6">
        <v>43553</v>
      </c>
      <c r="B133" s="16">
        <v>16.354800000000001</v>
      </c>
    </row>
    <row r="134" spans="1:2" x14ac:dyDescent="0.2">
      <c r="A134" s="6">
        <v>43560</v>
      </c>
      <c r="B134" s="16">
        <v>17.317399999999999</v>
      </c>
    </row>
    <row r="135" spans="1:2" x14ac:dyDescent="0.2">
      <c r="A135" s="6">
        <v>43567</v>
      </c>
      <c r="B135" s="16">
        <v>17.5456</v>
      </c>
    </row>
    <row r="136" spans="1:2" x14ac:dyDescent="0.2">
      <c r="A136" s="6">
        <v>43574</v>
      </c>
      <c r="B136" s="16">
        <v>18.2607</v>
      </c>
    </row>
    <row r="137" spans="1:2" x14ac:dyDescent="0.2">
      <c r="A137" s="6">
        <v>43581</v>
      </c>
      <c r="B137" s="16">
        <v>18.147200000000002</v>
      </c>
    </row>
    <row r="138" spans="1:2" x14ac:dyDescent="0.2">
      <c r="A138" s="6">
        <v>43588</v>
      </c>
      <c r="B138" s="16">
        <v>18.498200000000001</v>
      </c>
    </row>
    <row r="139" spans="1:2" x14ac:dyDescent="0.2">
      <c r="A139" s="6">
        <v>43595</v>
      </c>
      <c r="B139" s="16">
        <v>17.573499999999999</v>
      </c>
    </row>
    <row r="140" spans="1:2" x14ac:dyDescent="0.2">
      <c r="A140" s="6">
        <v>43602</v>
      </c>
      <c r="B140" s="16">
        <v>16.680299999999999</v>
      </c>
    </row>
    <row r="141" spans="1:2" x14ac:dyDescent="0.2">
      <c r="A141" s="6">
        <v>43609</v>
      </c>
      <c r="B141" s="16">
        <v>15.7172</v>
      </c>
    </row>
    <row r="142" spans="1:2" x14ac:dyDescent="0.2">
      <c r="A142" s="6">
        <v>43616</v>
      </c>
      <c r="B142" s="16">
        <v>15.664999999999999</v>
      </c>
    </row>
    <row r="143" spans="1:2" x14ac:dyDescent="0.2">
      <c r="A143" s="6">
        <v>43623</v>
      </c>
      <c r="B143" s="16">
        <v>16.790299999999998</v>
      </c>
    </row>
    <row r="144" spans="1:2" x14ac:dyDescent="0.2">
      <c r="A144" s="6">
        <v>43630</v>
      </c>
      <c r="B144" s="16">
        <v>17.054600000000001</v>
      </c>
    </row>
    <row r="145" spans="1:2" x14ac:dyDescent="0.2">
      <c r="A145" s="6">
        <v>43637</v>
      </c>
      <c r="B145" s="16">
        <v>17.809000000000001</v>
      </c>
    </row>
    <row r="146" spans="1:2" x14ac:dyDescent="0.2">
      <c r="A146" s="6">
        <v>43644</v>
      </c>
      <c r="B146" s="16">
        <v>18.3126</v>
      </c>
    </row>
    <row r="147" spans="1:2" x14ac:dyDescent="0.2">
      <c r="A147" s="6">
        <v>43651</v>
      </c>
      <c r="B147" s="16">
        <v>18.352799999999998</v>
      </c>
    </row>
    <row r="148" spans="1:2" x14ac:dyDescent="0.2">
      <c r="A148" s="6">
        <v>43658</v>
      </c>
      <c r="B148" s="16">
        <v>18.892199999999999</v>
      </c>
    </row>
    <row r="149" spans="1:2" x14ac:dyDescent="0.2">
      <c r="A149" s="6">
        <v>43665</v>
      </c>
      <c r="B149" s="16">
        <v>19.215199999999999</v>
      </c>
    </row>
    <row r="150" spans="1:2" x14ac:dyDescent="0.2">
      <c r="A150" s="6">
        <v>43672</v>
      </c>
      <c r="B150" s="16">
        <v>20.185600000000001</v>
      </c>
    </row>
    <row r="151" spans="1:2" x14ac:dyDescent="0.2">
      <c r="A151" s="6">
        <v>43679</v>
      </c>
      <c r="B151" s="16">
        <v>18.009499999999999</v>
      </c>
    </row>
    <row r="152" spans="1:2" x14ac:dyDescent="0.2">
      <c r="A152" s="6">
        <v>43686</v>
      </c>
      <c r="B152" s="16">
        <v>17.963999999999999</v>
      </c>
    </row>
    <row r="153" spans="1:2" x14ac:dyDescent="0.2">
      <c r="A153" s="6">
        <v>43693</v>
      </c>
      <c r="B153" s="16">
        <v>18.233799999999999</v>
      </c>
    </row>
    <row r="154" spans="1:2" x14ac:dyDescent="0.2">
      <c r="A154" s="6">
        <v>43700</v>
      </c>
      <c r="B154" s="16">
        <v>17.873200000000001</v>
      </c>
    </row>
    <row r="155" spans="1:2" x14ac:dyDescent="0.2">
      <c r="A155" s="6">
        <v>43707</v>
      </c>
      <c r="B155" s="16">
        <v>18.623799999999999</v>
      </c>
    </row>
    <row r="156" spans="1:2" x14ac:dyDescent="0.2">
      <c r="A156" s="6">
        <v>43714</v>
      </c>
      <c r="B156" s="16">
        <v>19.409700000000001</v>
      </c>
    </row>
    <row r="157" spans="1:2" x14ac:dyDescent="0.2">
      <c r="A157" s="6">
        <v>43721</v>
      </c>
      <c r="B157" s="16">
        <v>20.2682</v>
      </c>
    </row>
    <row r="158" spans="1:2" x14ac:dyDescent="0.2">
      <c r="A158" s="6">
        <v>43728</v>
      </c>
      <c r="B158" s="16">
        <v>19.7301</v>
      </c>
    </row>
    <row r="159" spans="1:2" x14ac:dyDescent="0.2">
      <c r="A159" s="6">
        <v>43735</v>
      </c>
      <c r="B159" s="16">
        <v>19.2194</v>
      </c>
    </row>
    <row r="160" spans="1:2" x14ac:dyDescent="0.2">
      <c r="A160" s="6">
        <v>43742</v>
      </c>
      <c r="B160" s="16">
        <v>19.604600000000001</v>
      </c>
    </row>
    <row r="161" spans="1:2" x14ac:dyDescent="0.2">
      <c r="A161" s="6">
        <v>43749</v>
      </c>
      <c r="B161" s="16">
        <v>19.8062</v>
      </c>
    </row>
    <row r="162" spans="1:2" x14ac:dyDescent="0.2">
      <c r="A162" s="6">
        <v>43756</v>
      </c>
      <c r="B162" s="16">
        <v>19.7758</v>
      </c>
    </row>
    <row r="163" spans="1:2" x14ac:dyDescent="0.2">
      <c r="A163" s="6">
        <v>43763</v>
      </c>
      <c r="B163" s="16">
        <v>20.462800000000001</v>
      </c>
    </row>
    <row r="164" spans="1:2" x14ac:dyDescent="0.2">
      <c r="A164" s="6">
        <v>43770</v>
      </c>
      <c r="B164" s="16">
        <v>20.973099999999999</v>
      </c>
    </row>
    <row r="165" spans="1:2" x14ac:dyDescent="0.2">
      <c r="A165" s="6">
        <v>43777</v>
      </c>
      <c r="B165" s="16">
        <v>21.763100000000001</v>
      </c>
    </row>
    <row r="166" spans="1:2" x14ac:dyDescent="0.2">
      <c r="A166" s="6">
        <v>43784</v>
      </c>
      <c r="B166" s="16">
        <v>21.825600000000001</v>
      </c>
    </row>
    <row r="167" spans="1:2" x14ac:dyDescent="0.2">
      <c r="A167" s="6">
        <v>43791</v>
      </c>
      <c r="B167" s="16">
        <v>21.172000000000001</v>
      </c>
    </row>
    <row r="168" spans="1:2" x14ac:dyDescent="0.2">
      <c r="A168" s="6">
        <v>43798</v>
      </c>
      <c r="B168" s="16">
        <v>21.518799999999999</v>
      </c>
    </row>
    <row r="169" spans="1:2" x14ac:dyDescent="0.2">
      <c r="A169" s="6">
        <v>43805</v>
      </c>
      <c r="B169" s="16">
        <v>21.7226</v>
      </c>
    </row>
    <row r="170" spans="1:2" x14ac:dyDescent="0.2">
      <c r="A170" s="6">
        <v>43812</v>
      </c>
      <c r="B170" s="16">
        <v>23.086300000000001</v>
      </c>
    </row>
    <row r="171" spans="1:2" x14ac:dyDescent="0.2">
      <c r="A171" s="6">
        <v>43819</v>
      </c>
      <c r="B171" s="16">
        <v>23.857299999999999</v>
      </c>
    </row>
    <row r="172" spans="1:2" x14ac:dyDescent="0.2">
      <c r="A172" s="6">
        <v>43826</v>
      </c>
      <c r="B172" s="16">
        <v>23.420100000000001</v>
      </c>
    </row>
    <row r="173" spans="1:2" x14ac:dyDescent="0.2">
      <c r="A173" s="6">
        <v>43833</v>
      </c>
      <c r="B173" s="16">
        <v>23.356300000000001</v>
      </c>
    </row>
    <row r="174" spans="1:2" x14ac:dyDescent="0.2">
      <c r="A174" s="6">
        <v>43840</v>
      </c>
      <c r="B174" s="16">
        <v>23.5047</v>
      </c>
    </row>
    <row r="175" spans="1:2" x14ac:dyDescent="0.2">
      <c r="A175" s="6">
        <v>43847</v>
      </c>
      <c r="B175" s="16">
        <v>24.125699999999998</v>
      </c>
    </row>
    <row r="176" spans="1:2" x14ac:dyDescent="0.2">
      <c r="A176" s="6">
        <v>43854</v>
      </c>
      <c r="B176" s="16">
        <v>24.345199999999998</v>
      </c>
    </row>
    <row r="177" spans="1:2" x14ac:dyDescent="0.2">
      <c r="A177" s="6">
        <v>43861</v>
      </c>
      <c r="B177" s="16">
        <v>22.819099999999999</v>
      </c>
    </row>
    <row r="178" spans="1:2" x14ac:dyDescent="0.2">
      <c r="A178" s="6">
        <v>43868</v>
      </c>
      <c r="B178" s="16">
        <v>25.4954</v>
      </c>
    </row>
    <row r="179" spans="1:2" x14ac:dyDescent="0.2">
      <c r="A179" s="6">
        <v>43875</v>
      </c>
      <c r="B179" s="16">
        <v>26.758400000000002</v>
      </c>
    </row>
    <row r="180" spans="1:2" x14ac:dyDescent="0.2">
      <c r="A180" s="6">
        <v>43882</v>
      </c>
      <c r="B180" s="16">
        <v>25.874500000000001</v>
      </c>
    </row>
    <row r="181" spans="1:2" x14ac:dyDescent="0.2">
      <c r="A181" s="6">
        <v>43889</v>
      </c>
      <c r="B181" s="16">
        <v>23.337399999999999</v>
      </c>
    </row>
    <row r="182" spans="1:2" x14ac:dyDescent="0.2">
      <c r="A182" s="6">
        <v>43896</v>
      </c>
      <c r="B182" s="16">
        <v>23.341100000000001</v>
      </c>
    </row>
    <row r="183" spans="1:2" x14ac:dyDescent="0.2">
      <c r="A183" s="6">
        <v>43903</v>
      </c>
      <c r="B183" s="16">
        <v>21.601700000000001</v>
      </c>
    </row>
    <row r="184" spans="1:2" x14ac:dyDescent="0.2">
      <c r="A184" s="6">
        <v>43910</v>
      </c>
      <c r="B184" s="16">
        <v>18.165700000000001</v>
      </c>
    </row>
    <row r="185" spans="1:2" x14ac:dyDescent="0.2">
      <c r="A185" s="6">
        <v>43917</v>
      </c>
      <c r="B185" s="16">
        <v>20.857700000000001</v>
      </c>
    </row>
    <row r="186" spans="1:2" x14ac:dyDescent="0.2">
      <c r="A186" s="6">
        <v>43924</v>
      </c>
      <c r="B186" s="16">
        <v>20.217700000000001</v>
      </c>
    </row>
    <row r="187" spans="1:2" x14ac:dyDescent="0.2">
      <c r="A187" s="6">
        <v>43931</v>
      </c>
      <c r="B187" s="16">
        <v>22.441600000000001</v>
      </c>
    </row>
    <row r="188" spans="1:2" x14ac:dyDescent="0.2">
      <c r="A188" s="6">
        <v>43938</v>
      </c>
      <c r="B188" s="16">
        <v>23.898299999999999</v>
      </c>
    </row>
    <row r="189" spans="1:2" x14ac:dyDescent="0.2">
      <c r="A189" s="6">
        <v>43945</v>
      </c>
      <c r="B189" s="16">
        <v>19.840900000000001</v>
      </c>
    </row>
    <row r="190" spans="1:2" x14ac:dyDescent="0.2">
      <c r="A190" s="6">
        <v>43952</v>
      </c>
      <c r="B190" s="16">
        <v>19.097999999999999</v>
      </c>
    </row>
    <row r="191" spans="1:2" x14ac:dyDescent="0.2">
      <c r="A191" s="6">
        <v>43959</v>
      </c>
      <c r="B191" s="16">
        <v>20.907900000000001</v>
      </c>
    </row>
    <row r="192" spans="1:2" x14ac:dyDescent="0.2">
      <c r="A192" s="6">
        <v>43966</v>
      </c>
      <c r="B192" s="16">
        <v>20.134599999999999</v>
      </c>
    </row>
    <row r="193" spans="1:2" x14ac:dyDescent="0.2">
      <c r="A193" s="6">
        <v>43973</v>
      </c>
      <c r="B193" s="16">
        <v>21.340800000000002</v>
      </c>
    </row>
    <row r="194" spans="1:2" x14ac:dyDescent="0.2">
      <c r="A194" s="6">
        <v>43980</v>
      </c>
      <c r="B194" s="16">
        <v>21.905899999999999</v>
      </c>
    </row>
    <row r="195" spans="1:2" x14ac:dyDescent="0.2">
      <c r="A195" s="6">
        <v>43987</v>
      </c>
      <c r="B195" s="16">
        <v>24.2194</v>
      </c>
    </row>
    <row r="196" spans="1:2" x14ac:dyDescent="0.2">
      <c r="A196" s="6">
        <v>43994</v>
      </c>
      <c r="B196" s="16">
        <v>23.051600000000001</v>
      </c>
    </row>
    <row r="197" spans="1:2" x14ac:dyDescent="0.2">
      <c r="A197" s="6">
        <v>44001</v>
      </c>
      <c r="B197" s="16">
        <v>23.805499999999999</v>
      </c>
    </row>
    <row r="198" spans="1:2" x14ac:dyDescent="0.2">
      <c r="A198" s="6">
        <v>44008</v>
      </c>
      <c r="B198" s="16">
        <v>22.851099999999999</v>
      </c>
    </row>
    <row r="199" spans="1:2" x14ac:dyDescent="0.2">
      <c r="A199" s="6">
        <v>44015</v>
      </c>
      <c r="B199" s="16">
        <v>23.563600000000001</v>
      </c>
    </row>
    <row r="200" spans="1:2" x14ac:dyDescent="0.2">
      <c r="A200" s="6">
        <v>44022</v>
      </c>
      <c r="B200" s="16">
        <v>24.450199999999999</v>
      </c>
    </row>
    <row r="201" spans="1:2" x14ac:dyDescent="0.2">
      <c r="A201" s="6">
        <v>44029</v>
      </c>
      <c r="B201" s="16">
        <v>24.133099999999999</v>
      </c>
    </row>
    <row r="202" spans="1:2" x14ac:dyDescent="0.2">
      <c r="A202" s="6">
        <v>44036</v>
      </c>
      <c r="B202" s="16">
        <v>23.268699999999999</v>
      </c>
    </row>
    <row r="203" spans="1:2" x14ac:dyDescent="0.2">
      <c r="A203" s="6">
        <v>44043</v>
      </c>
      <c r="B203" s="16">
        <v>23.8917</v>
      </c>
    </row>
    <row r="204" spans="1:2" x14ac:dyDescent="0.2">
      <c r="A204" s="6">
        <v>44050</v>
      </c>
      <c r="B204" s="16">
        <v>24.397200000000002</v>
      </c>
    </row>
    <row r="205" spans="1:2" x14ac:dyDescent="0.2">
      <c r="A205" s="6">
        <v>44057</v>
      </c>
      <c r="B205" s="16">
        <v>24.546600000000002</v>
      </c>
    </row>
    <row r="206" spans="1:2" x14ac:dyDescent="0.2">
      <c r="A206" s="6">
        <v>44064</v>
      </c>
      <c r="B206" s="16">
        <v>24.469200000000001</v>
      </c>
    </row>
    <row r="207" spans="1:2" x14ac:dyDescent="0.2">
      <c r="A207" s="6">
        <v>44071</v>
      </c>
      <c r="B207" s="16">
        <v>25.312200000000001</v>
      </c>
    </row>
    <row r="208" spans="1:2" x14ac:dyDescent="0.2">
      <c r="A208" s="6">
        <v>44078</v>
      </c>
      <c r="B208" s="16">
        <v>25.183599999999998</v>
      </c>
    </row>
    <row r="209" spans="1:2" x14ac:dyDescent="0.2">
      <c r="A209" s="6">
        <v>44085</v>
      </c>
      <c r="B209" s="16">
        <v>24.292100000000001</v>
      </c>
    </row>
    <row r="210" spans="1:2" x14ac:dyDescent="0.2">
      <c r="A210" s="6">
        <v>44092</v>
      </c>
      <c r="B210" s="16">
        <v>24.549600000000002</v>
      </c>
    </row>
    <row r="211" spans="1:2" x14ac:dyDescent="0.2">
      <c r="A211" s="6">
        <v>44099</v>
      </c>
      <c r="B211" s="16">
        <v>23.477799999999998</v>
      </c>
    </row>
    <row r="212" spans="1:2" x14ac:dyDescent="0.2">
      <c r="A212" s="6">
        <v>44106</v>
      </c>
      <c r="B212" s="16">
        <v>24.122499999999999</v>
      </c>
    </row>
    <row r="213" spans="1:2" x14ac:dyDescent="0.2">
      <c r="A213" s="6">
        <v>44113</v>
      </c>
      <c r="B213" s="16">
        <v>25.944400000000002</v>
      </c>
    </row>
    <row r="214" spans="1:2" x14ac:dyDescent="0.2">
      <c r="A214" s="6">
        <v>44120</v>
      </c>
      <c r="B214" s="16">
        <v>25.8812</v>
      </c>
    </row>
    <row r="215" spans="1:2" x14ac:dyDescent="0.2">
      <c r="A215" s="6">
        <v>44127</v>
      </c>
      <c r="B215" s="16">
        <v>25.2745</v>
      </c>
    </row>
    <row r="216" spans="1:2" x14ac:dyDescent="0.2">
      <c r="A216" s="6">
        <v>44134</v>
      </c>
      <c r="B216" s="16">
        <v>23.876300000000001</v>
      </c>
    </row>
    <row r="217" spans="1:2" x14ac:dyDescent="0.2">
      <c r="A217" s="6">
        <v>44141</v>
      </c>
      <c r="B217" s="16">
        <v>26.7788</v>
      </c>
    </row>
    <row r="218" spans="1:2" x14ac:dyDescent="0.2">
      <c r="A218" s="6">
        <v>44148</v>
      </c>
      <c r="B218" s="16">
        <v>26.517600000000002</v>
      </c>
    </row>
    <row r="219" spans="1:2" x14ac:dyDescent="0.2">
      <c r="A219" s="6">
        <v>44155</v>
      </c>
      <c r="B219" s="16">
        <v>27.004000000000001</v>
      </c>
    </row>
    <row r="220" spans="1:2" x14ac:dyDescent="0.2">
      <c r="A220" s="6">
        <v>44162</v>
      </c>
      <c r="B220" s="16">
        <v>27.766300000000001</v>
      </c>
    </row>
    <row r="221" spans="1:2" x14ac:dyDescent="0.2">
      <c r="A221" s="6">
        <v>44169</v>
      </c>
      <c r="B221" s="16">
        <v>29.464200000000002</v>
      </c>
    </row>
    <row r="222" spans="1:2" x14ac:dyDescent="0.2">
      <c r="A222" s="6">
        <v>44176</v>
      </c>
      <c r="B222" s="16">
        <v>29.060600000000001</v>
      </c>
    </row>
    <row r="223" spans="1:2" x14ac:dyDescent="0.2">
      <c r="A223" s="6">
        <v>44183</v>
      </c>
      <c r="B223" s="16">
        <v>29.693200000000001</v>
      </c>
    </row>
    <row r="224" spans="1:2" x14ac:dyDescent="0.2">
      <c r="A224" s="6">
        <v>44190</v>
      </c>
      <c r="B224" s="16">
        <v>28.8872</v>
      </c>
    </row>
    <row r="225" spans="1:2" x14ac:dyDescent="0.2">
      <c r="A225" s="6">
        <v>44197</v>
      </c>
      <c r="B225" s="16">
        <v>29.361799999999999</v>
      </c>
    </row>
    <row r="226" spans="1:2" x14ac:dyDescent="0.2">
      <c r="A226" s="6">
        <v>44204</v>
      </c>
      <c r="B226" s="16">
        <v>30.750399999999999</v>
      </c>
    </row>
    <row r="227" spans="1:2" x14ac:dyDescent="0.2">
      <c r="A227" s="6">
        <v>44211</v>
      </c>
      <c r="B227" s="16">
        <v>31.318100000000001</v>
      </c>
    </row>
    <row r="228" spans="1:2" x14ac:dyDescent="0.2">
      <c r="A228" s="6">
        <v>44218</v>
      </c>
      <c r="B228" s="16">
        <v>32.099600000000002</v>
      </c>
    </row>
    <row r="229" spans="1:2" x14ac:dyDescent="0.2">
      <c r="A229" s="6">
        <v>44225</v>
      </c>
      <c r="B229" s="16">
        <v>29.9819</v>
      </c>
    </row>
    <row r="230" spans="1:2" x14ac:dyDescent="0.2">
      <c r="A230" s="6">
        <v>44232</v>
      </c>
      <c r="B230" s="16">
        <v>31.9756</v>
      </c>
    </row>
    <row r="231" spans="1:2" x14ac:dyDescent="0.2">
      <c r="A231" s="6">
        <v>44239</v>
      </c>
      <c r="B231" s="16">
        <v>34.490600000000001</v>
      </c>
    </row>
    <row r="232" spans="1:2" x14ac:dyDescent="0.2">
      <c r="A232" s="6">
        <v>44246</v>
      </c>
      <c r="B232" s="16">
        <v>34.478099999999998</v>
      </c>
    </row>
    <row r="233" spans="1:2" x14ac:dyDescent="0.2">
      <c r="A233" s="6">
        <v>44253</v>
      </c>
      <c r="B233" s="16">
        <v>32.861800000000002</v>
      </c>
    </row>
    <row r="234" spans="1:2" x14ac:dyDescent="0.2">
      <c r="A234" s="6">
        <v>44260</v>
      </c>
      <c r="B234" s="16">
        <v>31.790700000000001</v>
      </c>
    </row>
    <row r="235" spans="1:2" x14ac:dyDescent="0.2">
      <c r="A235" s="6">
        <v>44267</v>
      </c>
      <c r="B235" s="16">
        <v>32.2714</v>
      </c>
    </row>
    <row r="236" spans="1:2" x14ac:dyDescent="0.2">
      <c r="A236" s="6">
        <v>44274</v>
      </c>
      <c r="B236" s="16">
        <v>32.773299999999999</v>
      </c>
    </row>
    <row r="237" spans="1:2" x14ac:dyDescent="0.2">
      <c r="A237" s="6">
        <v>44281</v>
      </c>
      <c r="B237" s="16">
        <v>33.804200000000002</v>
      </c>
    </row>
    <row r="238" spans="1:2" x14ac:dyDescent="0.2">
      <c r="A238" s="6">
        <v>44288</v>
      </c>
      <c r="B238" s="16">
        <v>23.340900000000001</v>
      </c>
    </row>
    <row r="239" spans="1:2" x14ac:dyDescent="0.2">
      <c r="A239" s="6">
        <v>44295</v>
      </c>
      <c r="B239" s="16">
        <v>23.715900000000001</v>
      </c>
    </row>
    <row r="240" spans="1:2" x14ac:dyDescent="0.2">
      <c r="A240" s="6">
        <v>44302</v>
      </c>
      <c r="B240" s="16">
        <v>23.2471</v>
      </c>
    </row>
    <row r="241" spans="1:2" x14ac:dyDescent="0.2">
      <c r="A241" s="6">
        <v>44309</v>
      </c>
      <c r="B241" s="16">
        <v>22.648599999999998</v>
      </c>
    </row>
    <row r="242" spans="1:2" x14ac:dyDescent="0.2">
      <c r="A242" s="6">
        <v>44316</v>
      </c>
      <c r="B242" s="16">
        <v>21.536200000000001</v>
      </c>
    </row>
    <row r="243" spans="1:2" x14ac:dyDescent="0.2">
      <c r="A243" s="6">
        <v>44323</v>
      </c>
      <c r="B243" s="16">
        <v>21.5504</v>
      </c>
    </row>
    <row r="244" spans="1:2" x14ac:dyDescent="0.2">
      <c r="A244" s="6">
        <v>44330</v>
      </c>
      <c r="B244" s="16">
        <v>20.6264</v>
      </c>
    </row>
    <row r="245" spans="1:2" x14ac:dyDescent="0.2">
      <c r="A245" s="6">
        <v>44337</v>
      </c>
      <c r="B245" s="16">
        <v>20.984500000000001</v>
      </c>
    </row>
    <row r="246" spans="1:2" x14ac:dyDescent="0.2">
      <c r="A246" s="6">
        <v>44344</v>
      </c>
      <c r="B246" s="16">
        <v>21.796900000000001</v>
      </c>
    </row>
    <row r="247" spans="1:2" x14ac:dyDescent="0.2">
      <c r="A247" s="6">
        <v>44351</v>
      </c>
      <c r="B247" s="16">
        <v>22.200199999999999</v>
      </c>
    </row>
    <row r="248" spans="1:2" x14ac:dyDescent="0.2">
      <c r="A248" s="6">
        <v>44358</v>
      </c>
      <c r="B248" s="16">
        <v>22.1936</v>
      </c>
    </row>
    <row r="249" spans="1:2" x14ac:dyDescent="0.2">
      <c r="A249" s="6">
        <v>44365</v>
      </c>
      <c r="B249" s="16">
        <v>21.8019</v>
      </c>
    </row>
    <row r="250" spans="1:2" x14ac:dyDescent="0.2">
      <c r="A250" s="6">
        <v>44372</v>
      </c>
      <c r="B250" s="16">
        <v>22.100899999999999</v>
      </c>
    </row>
    <row r="251" spans="1:2" x14ac:dyDescent="0.2">
      <c r="A251" s="6">
        <v>44379</v>
      </c>
      <c r="B251" s="16">
        <v>22.490300000000001</v>
      </c>
    </row>
    <row r="252" spans="1:2" x14ac:dyDescent="0.2">
      <c r="A252" s="6">
        <v>44386</v>
      </c>
      <c r="B252" s="16">
        <v>22.215299999999999</v>
      </c>
    </row>
    <row r="253" spans="1:2" x14ac:dyDescent="0.2">
      <c r="A253" s="6">
        <v>44393</v>
      </c>
      <c r="B253" s="16">
        <v>21.323799999999999</v>
      </c>
    </row>
    <row r="254" spans="1:2" x14ac:dyDescent="0.2">
      <c r="A254" s="6">
        <v>44400</v>
      </c>
      <c r="B254" s="16">
        <v>22.075800000000001</v>
      </c>
    </row>
    <row r="255" spans="1:2" x14ac:dyDescent="0.2">
      <c r="A255" s="6">
        <v>44407</v>
      </c>
      <c r="B255" s="16">
        <v>22.2821</v>
      </c>
    </row>
    <row r="256" spans="1:2" x14ac:dyDescent="0.2">
      <c r="A256" s="6">
        <v>44414</v>
      </c>
      <c r="B256" s="16">
        <v>22.578099999999999</v>
      </c>
    </row>
    <row r="257" spans="1:2" x14ac:dyDescent="0.2">
      <c r="A257" s="6">
        <v>44421</v>
      </c>
      <c r="B257" s="16">
        <v>22.086400000000001</v>
      </c>
    </row>
    <row r="258" spans="1:2" x14ac:dyDescent="0.2">
      <c r="A258" s="6">
        <v>44428</v>
      </c>
      <c r="B258" s="16">
        <v>21.5245</v>
      </c>
    </row>
    <row r="259" spans="1:2" x14ac:dyDescent="0.2">
      <c r="A259" s="6">
        <v>44435</v>
      </c>
      <c r="B259" s="16">
        <v>22.864000000000001</v>
      </c>
    </row>
    <row r="260" spans="1:2" x14ac:dyDescent="0.2">
      <c r="A260" s="6">
        <v>44442</v>
      </c>
      <c r="B260" s="16">
        <v>23.037600000000001</v>
      </c>
    </row>
    <row r="261" spans="1:2" x14ac:dyDescent="0.2">
      <c r="A261" s="6">
        <v>44449</v>
      </c>
      <c r="B261" s="16">
        <v>22.863299999999999</v>
      </c>
    </row>
    <row r="262" spans="1:2" x14ac:dyDescent="0.2">
      <c r="A262" s="6">
        <v>44456</v>
      </c>
      <c r="B262" s="16">
        <v>22.8992</v>
      </c>
    </row>
    <row r="263" spans="1:2" x14ac:dyDescent="0.2">
      <c r="A263" s="6">
        <v>44463</v>
      </c>
      <c r="B263" s="16">
        <v>22.456600000000002</v>
      </c>
    </row>
    <row r="264" spans="1:2" x14ac:dyDescent="0.2">
      <c r="A264" s="6">
        <v>44470</v>
      </c>
      <c r="B264" s="16">
        <v>21.395299999999999</v>
      </c>
    </row>
    <row r="265" spans="1:2" x14ac:dyDescent="0.2">
      <c r="A265" s="6">
        <v>44477</v>
      </c>
      <c r="B265" s="16">
        <v>21.294</v>
      </c>
    </row>
    <row r="266" spans="1:2" x14ac:dyDescent="0.2">
      <c r="A266" s="6">
        <v>44484</v>
      </c>
      <c r="B266" s="16">
        <v>21.7302</v>
      </c>
    </row>
    <row r="267" spans="1:2" x14ac:dyDescent="0.2">
      <c r="A267" s="6">
        <v>44491</v>
      </c>
      <c r="B267" s="16">
        <v>22.055599999999998</v>
      </c>
    </row>
    <row r="268" spans="1:2" x14ac:dyDescent="0.2">
      <c r="A268" s="6">
        <v>44498</v>
      </c>
      <c r="B268" s="16">
        <v>22.550599999999999</v>
      </c>
    </row>
    <row r="269" spans="1:2" x14ac:dyDescent="0.2">
      <c r="A269" s="6">
        <v>44505</v>
      </c>
      <c r="B269" s="16">
        <v>24.508199999999999</v>
      </c>
    </row>
    <row r="270" spans="1:2" x14ac:dyDescent="0.2">
      <c r="A270" s="6">
        <v>44512</v>
      </c>
      <c r="B270" s="16">
        <v>24.8154</v>
      </c>
    </row>
    <row r="271" spans="1:2" x14ac:dyDescent="0.2">
      <c r="A271" s="6">
        <v>44519</v>
      </c>
      <c r="B271" s="16">
        <v>25.630299999999998</v>
      </c>
    </row>
    <row r="272" spans="1:2" x14ac:dyDescent="0.2">
      <c r="A272" s="6">
        <v>44526</v>
      </c>
      <c r="B272" s="16">
        <v>24.594200000000001</v>
      </c>
    </row>
    <row r="273" spans="1:2" x14ac:dyDescent="0.2">
      <c r="A273" s="6">
        <v>44533</v>
      </c>
      <c r="B273" s="16">
        <v>25.013100000000001</v>
      </c>
    </row>
    <row r="274" spans="1:2" x14ac:dyDescent="0.2">
      <c r="A274" s="6">
        <v>44540</v>
      </c>
      <c r="B274" s="16">
        <v>26.042400000000001</v>
      </c>
    </row>
    <row r="275" spans="1:2" x14ac:dyDescent="0.2">
      <c r="A275" s="6">
        <v>44547</v>
      </c>
      <c r="B275" s="16">
        <v>25.024899999999999</v>
      </c>
    </row>
    <row r="276" spans="1:2" x14ac:dyDescent="0.2">
      <c r="A276" s="6">
        <v>44554</v>
      </c>
      <c r="B276" s="16">
        <v>25.814699999999998</v>
      </c>
    </row>
    <row r="277" spans="1:2" x14ac:dyDescent="0.2">
      <c r="A277" s="6">
        <v>44561</v>
      </c>
      <c r="B277" s="16">
        <v>25.896100000000001</v>
      </c>
    </row>
    <row r="278" spans="1:2" x14ac:dyDescent="0.2">
      <c r="A278" s="6">
        <v>44568</v>
      </c>
      <c r="B278" s="16">
        <v>24.909400000000002</v>
      </c>
    </row>
    <row r="279" spans="1:2" x14ac:dyDescent="0.2">
      <c r="A279" s="6">
        <v>44575</v>
      </c>
      <c r="B279" s="16">
        <v>25.581199999999999</v>
      </c>
    </row>
    <row r="280" spans="1:2" x14ac:dyDescent="0.2">
      <c r="A280" s="6">
        <v>44582</v>
      </c>
      <c r="B280" s="16">
        <v>22.515699999999999</v>
      </c>
    </row>
    <row r="281" spans="1:2" x14ac:dyDescent="0.2">
      <c r="A281" s="6">
        <v>44589</v>
      </c>
      <c r="B281" s="16">
        <v>21.623899999999999</v>
      </c>
    </row>
    <row r="282" spans="1:2" x14ac:dyDescent="0.2">
      <c r="A282" s="6">
        <v>44596</v>
      </c>
      <c r="B282" s="16">
        <v>23.019100000000002</v>
      </c>
    </row>
    <row r="283" spans="1:2" x14ac:dyDescent="0.2">
      <c r="A283" s="6">
        <v>44603</v>
      </c>
      <c r="B283" s="16">
        <v>22.4833</v>
      </c>
    </row>
    <row r="284" spans="1:2" x14ac:dyDescent="0.2">
      <c r="A284" s="6">
        <v>44610</v>
      </c>
      <c r="B284" s="16">
        <v>22.601400000000002</v>
      </c>
    </row>
    <row r="285" spans="1:2" x14ac:dyDescent="0.2">
      <c r="A285" s="6">
        <v>44617</v>
      </c>
      <c r="B285" s="16">
        <v>23.0488</v>
      </c>
    </row>
    <row r="286" spans="1:2" x14ac:dyDescent="0.2">
      <c r="A286" s="6">
        <v>44624</v>
      </c>
      <c r="B286" s="16">
        <v>21.998999999999999</v>
      </c>
    </row>
    <row r="287" spans="1:2" x14ac:dyDescent="0.2">
      <c r="A287" s="6">
        <v>44631</v>
      </c>
      <c r="B287" s="16">
        <v>21.224</v>
      </c>
    </row>
    <row r="288" spans="1:2" x14ac:dyDescent="0.2">
      <c r="A288" s="6">
        <v>44638</v>
      </c>
      <c r="B288" s="16">
        <v>23.168900000000001</v>
      </c>
    </row>
    <row r="289" spans="1:2" x14ac:dyDescent="0.2">
      <c r="A289" s="6">
        <v>44645</v>
      </c>
      <c r="B289" s="16">
        <v>23.796900000000001</v>
      </c>
    </row>
    <row r="290" spans="1:2" x14ac:dyDescent="0.2">
      <c r="A290" s="6">
        <v>44652</v>
      </c>
      <c r="B290" s="16">
        <v>22.728300000000001</v>
      </c>
    </row>
    <row r="291" spans="1:2" x14ac:dyDescent="0.2">
      <c r="A291" s="6">
        <v>44659</v>
      </c>
      <c r="B291" s="16">
        <v>21.064299999999999</v>
      </c>
    </row>
    <row r="292" spans="1:2" x14ac:dyDescent="0.2">
      <c r="A292" s="6">
        <v>44666</v>
      </c>
      <c r="B292" s="16">
        <v>20.4438</v>
      </c>
    </row>
    <row r="293" spans="1:2" x14ac:dyDescent="0.2">
      <c r="A293" s="6">
        <v>44673</v>
      </c>
      <c r="B293" s="16">
        <v>15.7232</v>
      </c>
    </row>
    <row r="294" spans="1:2" x14ac:dyDescent="0.2">
      <c r="A294" s="6">
        <v>44680</v>
      </c>
      <c r="B294" s="16">
        <v>15.343</v>
      </c>
    </row>
    <row r="295" spans="1:2" x14ac:dyDescent="0.2">
      <c r="A295" s="6">
        <v>44687</v>
      </c>
      <c r="B295" s="16">
        <v>15.5647</v>
      </c>
    </row>
    <row r="296" spans="1:2" x14ac:dyDescent="0.2">
      <c r="A296" s="6">
        <v>44694</v>
      </c>
      <c r="B296" s="16">
        <v>15.541700000000001</v>
      </c>
    </row>
    <row r="297" spans="1:2" x14ac:dyDescent="0.2">
      <c r="A297" s="6">
        <v>44701</v>
      </c>
      <c r="B297" s="16">
        <v>15.0641</v>
      </c>
    </row>
    <row r="298" spans="1:2" x14ac:dyDescent="0.2">
      <c r="A298" s="6">
        <v>44708</v>
      </c>
      <c r="B298" s="16">
        <v>16.448399999999999</v>
      </c>
    </row>
    <row r="299" spans="1:2" x14ac:dyDescent="0.2">
      <c r="A299" s="6">
        <v>44715</v>
      </c>
      <c r="B299" s="16">
        <v>16.1629</v>
      </c>
    </row>
    <row r="300" spans="1:2" x14ac:dyDescent="0.2">
      <c r="A300" s="6">
        <v>44722</v>
      </c>
      <c r="B300" s="16">
        <v>14.967000000000001</v>
      </c>
    </row>
    <row r="301" spans="1:2" x14ac:dyDescent="0.2">
      <c r="A301" s="6">
        <v>44729</v>
      </c>
      <c r="B301" s="16">
        <v>13.647</v>
      </c>
    </row>
    <row r="302" spans="1:2" x14ac:dyDescent="0.2">
      <c r="A302" s="6">
        <v>44736</v>
      </c>
      <c r="B302" s="16">
        <v>14.806800000000001</v>
      </c>
    </row>
    <row r="303" spans="1:2" x14ac:dyDescent="0.2">
      <c r="A303" s="6">
        <v>44743</v>
      </c>
      <c r="B303" s="16">
        <v>13.766299999999999</v>
      </c>
    </row>
    <row r="304" spans="1:2" x14ac:dyDescent="0.2">
      <c r="A304" s="6">
        <v>44750</v>
      </c>
      <c r="B304" s="16">
        <v>14.7011</v>
      </c>
    </row>
    <row r="305" spans="1:2" x14ac:dyDescent="0.2">
      <c r="A305" s="6">
        <v>44757</v>
      </c>
      <c r="B305" s="16">
        <v>15.1509</v>
      </c>
    </row>
    <row r="306" spans="1:2" x14ac:dyDescent="0.2">
      <c r="A306" s="6">
        <v>44764</v>
      </c>
      <c r="B306" s="16">
        <v>16.053599999999999</v>
      </c>
    </row>
    <row r="307" spans="1:2" x14ac:dyDescent="0.2">
      <c r="A307" s="6">
        <v>44771</v>
      </c>
      <c r="B307" s="16">
        <v>17.487300000000001</v>
      </c>
    </row>
    <row r="308" spans="1:2" x14ac:dyDescent="0.2">
      <c r="A308" s="6">
        <v>44778</v>
      </c>
      <c r="B308" s="16">
        <v>18.264099999999999</v>
      </c>
    </row>
    <row r="309" spans="1:2" x14ac:dyDescent="0.2">
      <c r="A309" s="6">
        <v>44785</v>
      </c>
      <c r="B309" s="16">
        <v>18.718800000000002</v>
      </c>
    </row>
    <row r="310" spans="1:2" x14ac:dyDescent="0.2">
      <c r="A310" s="6">
        <v>44792</v>
      </c>
      <c r="B310" s="16">
        <v>18.030200000000001</v>
      </c>
    </row>
    <row r="311" spans="1:2" x14ac:dyDescent="0.2">
      <c r="A311" s="6">
        <v>44799</v>
      </c>
      <c r="B311" s="16">
        <v>17.275400000000001</v>
      </c>
    </row>
    <row r="312" spans="1:2" x14ac:dyDescent="0.2">
      <c r="A312" s="6">
        <v>44806</v>
      </c>
      <c r="B312" s="16">
        <v>16.174900000000001</v>
      </c>
    </row>
    <row r="313" spans="1:2" x14ac:dyDescent="0.2">
      <c r="A313" s="6">
        <v>44813</v>
      </c>
      <c r="B313" s="16">
        <v>16.963899999999999</v>
      </c>
    </row>
    <row r="314" spans="1:2" x14ac:dyDescent="0.2">
      <c r="A314" s="6">
        <v>44820</v>
      </c>
      <c r="B314" s="16">
        <v>16.013999999999999</v>
      </c>
    </row>
    <row r="315" spans="1:2" x14ac:dyDescent="0.2">
      <c r="A315" s="6">
        <v>44827</v>
      </c>
      <c r="B315" s="16">
        <v>14.776999999999999</v>
      </c>
    </row>
    <row r="316" spans="1:2" x14ac:dyDescent="0.2">
      <c r="A316" s="6">
        <v>44834</v>
      </c>
      <c r="B316" s="16">
        <v>14.3561</v>
      </c>
    </row>
    <row r="317" spans="1:2" x14ac:dyDescent="0.2">
      <c r="A317" s="6">
        <v>44841</v>
      </c>
      <c r="B317" s="16">
        <v>14.7774</v>
      </c>
    </row>
    <row r="318" spans="1:2" x14ac:dyDescent="0.2">
      <c r="A318" s="6">
        <v>44848</v>
      </c>
      <c r="B318" s="16">
        <v>13.6189</v>
      </c>
    </row>
    <row r="319" spans="1:2" x14ac:dyDescent="0.2">
      <c r="A319" s="6">
        <v>44855</v>
      </c>
      <c r="B319" s="16">
        <v>14.7217</v>
      </c>
    </row>
    <row r="320" spans="1:2" x14ac:dyDescent="0.2">
      <c r="A320" s="6">
        <v>44862</v>
      </c>
      <c r="B320" s="16">
        <v>15.448499999999999</v>
      </c>
    </row>
    <row r="321" spans="1:2" x14ac:dyDescent="0.2">
      <c r="A321" s="6">
        <v>44869</v>
      </c>
      <c r="B321" s="16">
        <v>15.667999999999999</v>
      </c>
    </row>
    <row r="322" spans="1:2" x14ac:dyDescent="0.2">
      <c r="A322" s="6">
        <v>44876</v>
      </c>
      <c r="B322" s="16">
        <v>17.975300000000001</v>
      </c>
    </row>
    <row r="323" spans="1:2" x14ac:dyDescent="0.2">
      <c r="A323" s="6">
        <v>44883</v>
      </c>
      <c r="B323" s="16">
        <v>17.807099999999998</v>
      </c>
    </row>
    <row r="324" spans="1:2" x14ac:dyDescent="0.2">
      <c r="A324" s="6">
        <v>44890</v>
      </c>
      <c r="B324" s="16">
        <v>17.946100000000001</v>
      </c>
    </row>
    <row r="325" spans="1:2" x14ac:dyDescent="0.2">
      <c r="A325" s="6">
        <v>44897</v>
      </c>
      <c r="B325" s="16">
        <v>18.1877</v>
      </c>
    </row>
    <row r="326" spans="1:2" x14ac:dyDescent="0.2">
      <c r="A326" s="6">
        <v>44904</v>
      </c>
      <c r="B326" s="16">
        <v>17.993099999999998</v>
      </c>
    </row>
    <row r="327" spans="1:2" x14ac:dyDescent="0.2">
      <c r="A327" s="6">
        <v>44911</v>
      </c>
      <c r="B327" s="16">
        <v>17.433199999999999</v>
      </c>
    </row>
    <row r="328" spans="1:2" x14ac:dyDescent="0.2">
      <c r="A328" s="6">
        <v>44918</v>
      </c>
      <c r="B328" s="16">
        <v>16.692299999999999</v>
      </c>
    </row>
    <row r="329" spans="1:2" x14ac:dyDescent="0.2">
      <c r="A329" s="6">
        <v>44925</v>
      </c>
      <c r="B329" s="16">
        <v>16.6736</v>
      </c>
    </row>
    <row r="330" spans="1:2" x14ac:dyDescent="0.2">
      <c r="A330" s="6">
        <v>44932</v>
      </c>
      <c r="B330" s="16">
        <v>17.352799999999998</v>
      </c>
    </row>
    <row r="331" spans="1:2" x14ac:dyDescent="0.2">
      <c r="A331" s="6">
        <v>44939</v>
      </c>
      <c r="B331" s="16">
        <v>18.4208</v>
      </c>
    </row>
    <row r="332" spans="1:2" x14ac:dyDescent="0.2">
      <c r="A332" s="6">
        <v>44946</v>
      </c>
      <c r="B332" s="16">
        <v>18.3811</v>
      </c>
    </row>
    <row r="333" spans="1:2" x14ac:dyDescent="0.2">
      <c r="A333" s="6">
        <v>44953</v>
      </c>
      <c r="B333" s="16">
        <v>19.46</v>
      </c>
    </row>
    <row r="334" spans="1:2" x14ac:dyDescent="0.2">
      <c r="A334" s="6">
        <v>44960</v>
      </c>
      <c r="B334" s="16">
        <v>21.003900000000002</v>
      </c>
    </row>
    <row r="335" spans="1:2" x14ac:dyDescent="0.2">
      <c r="A335" s="6">
        <v>44967</v>
      </c>
      <c r="B335" s="16">
        <v>20.680499999999999</v>
      </c>
    </row>
    <row r="336" spans="1:2" x14ac:dyDescent="0.2">
      <c r="A336" s="6">
        <v>44974</v>
      </c>
      <c r="B336" s="16">
        <v>20.887899999999998</v>
      </c>
    </row>
    <row r="337" spans="1:2" x14ac:dyDescent="0.2">
      <c r="A337" s="6">
        <v>44981</v>
      </c>
      <c r="B337" s="16">
        <v>20.4481</v>
      </c>
    </row>
    <row r="338" spans="1:2" x14ac:dyDescent="0.2">
      <c r="A338" s="6">
        <v>44988</v>
      </c>
      <c r="B338" s="16">
        <v>22.402200000000001</v>
      </c>
    </row>
    <row r="339" spans="1:2" x14ac:dyDescent="0.2">
      <c r="A339" s="6">
        <v>44995</v>
      </c>
      <c r="B339" s="16">
        <v>21.650400000000001</v>
      </c>
    </row>
    <row r="340" spans="1:2" x14ac:dyDescent="0.2">
      <c r="A340" s="6">
        <v>45002</v>
      </c>
      <c r="B340" s="16">
        <v>22.891300000000001</v>
      </c>
    </row>
    <row r="341" spans="1:2" x14ac:dyDescent="0.2">
      <c r="A341" s="6">
        <v>45009</v>
      </c>
      <c r="B341" s="16">
        <v>22.969100000000001</v>
      </c>
    </row>
    <row r="342" spans="1:2" x14ac:dyDescent="0.2">
      <c r="A342" s="6">
        <v>45016</v>
      </c>
      <c r="B342" s="16">
        <v>24.6432</v>
      </c>
    </row>
    <row r="343" spans="1:2" x14ac:dyDescent="0.2">
      <c r="A343" s="6">
        <v>45023</v>
      </c>
      <c r="B343" s="16">
        <v>23.452500000000001</v>
      </c>
    </row>
    <row r="344" spans="1:2" x14ac:dyDescent="0.2">
      <c r="A344" s="6">
        <v>45030</v>
      </c>
      <c r="B344" s="16">
        <v>23.512899999999998</v>
      </c>
    </row>
    <row r="345" spans="1:2" x14ac:dyDescent="0.2">
      <c r="A345" s="6">
        <v>45037</v>
      </c>
      <c r="B345" s="16">
        <v>23.1846</v>
      </c>
    </row>
    <row r="346" spans="1:2" x14ac:dyDescent="0.2">
      <c r="A346" s="6">
        <v>45044</v>
      </c>
      <c r="B346" s="16">
        <v>23.7196</v>
      </c>
    </row>
    <row r="347" spans="1:2" x14ac:dyDescent="0.2">
      <c r="A347" s="6">
        <v>45051</v>
      </c>
      <c r="B347" s="16">
        <v>25.130400000000002</v>
      </c>
    </row>
    <row r="348" spans="1:2" x14ac:dyDescent="0.2">
      <c r="A348" s="6">
        <v>45058</v>
      </c>
      <c r="B348" s="16">
        <v>25.2821</v>
      </c>
    </row>
    <row r="349" spans="1:2" x14ac:dyDescent="0.2">
      <c r="A349" s="6">
        <v>45065</v>
      </c>
      <c r="B349" s="16">
        <v>27.166499999999999</v>
      </c>
    </row>
    <row r="350" spans="1:2" x14ac:dyDescent="0.2">
      <c r="A350" s="6">
        <v>45072</v>
      </c>
      <c r="B350" s="16">
        <v>29.724599999999999</v>
      </c>
    </row>
    <row r="351" spans="1:2" x14ac:dyDescent="0.2">
      <c r="A351" s="6">
        <v>45079</v>
      </c>
      <c r="B351" s="16">
        <v>29.451799999999999</v>
      </c>
    </row>
    <row r="352" spans="1:2" x14ac:dyDescent="0.2">
      <c r="A352" s="6">
        <v>45086</v>
      </c>
      <c r="B352" s="16">
        <v>29.667000000000002</v>
      </c>
    </row>
    <row r="353" spans="1:2" x14ac:dyDescent="0.2">
      <c r="A353" s="6">
        <v>45093</v>
      </c>
      <c r="B353" s="16">
        <v>30.898599999999998</v>
      </c>
    </row>
    <row r="354" spans="1:2" x14ac:dyDescent="0.2">
      <c r="A354" s="6">
        <v>45100</v>
      </c>
      <c r="B354" s="16">
        <v>30.2408</v>
      </c>
    </row>
    <row r="355" spans="1:2" x14ac:dyDescent="0.2">
      <c r="A355" s="6">
        <v>45107</v>
      </c>
      <c r="B355" s="16">
        <v>32.004600000000003</v>
      </c>
    </row>
    <row r="356" spans="1:2" x14ac:dyDescent="0.2">
      <c r="A356" s="6">
        <v>45114</v>
      </c>
      <c r="B356" s="16">
        <v>31.214099999999998</v>
      </c>
    </row>
    <row r="357" spans="1:2" x14ac:dyDescent="0.2">
      <c r="A357" s="6">
        <v>45121</v>
      </c>
      <c r="B357" s="16">
        <v>32.655500000000004</v>
      </c>
    </row>
    <row r="358" spans="1:2" x14ac:dyDescent="0.2">
      <c r="A358" s="6">
        <v>45128</v>
      </c>
      <c r="B358" s="16">
        <v>32.269799999999996</v>
      </c>
    </row>
    <row r="359" spans="1:2" x14ac:dyDescent="0.2">
      <c r="A359" s="6">
        <v>45135</v>
      </c>
      <c r="B359" s="16">
        <v>32.319299999999998</v>
      </c>
    </row>
    <row r="360" spans="1:2" x14ac:dyDescent="0.2">
      <c r="A360" s="6">
        <v>45142</v>
      </c>
      <c r="B360" s="16">
        <v>31.797999999999998</v>
      </c>
    </row>
    <row r="361" spans="1:2" x14ac:dyDescent="0.2">
      <c r="A361" s="6">
        <v>45149</v>
      </c>
      <c r="B361" s="16">
        <v>30.270299999999999</v>
      </c>
    </row>
    <row r="362" spans="1:2" x14ac:dyDescent="0.2">
      <c r="A362" s="6">
        <v>45156</v>
      </c>
      <c r="B362" s="16">
        <v>29.9343</v>
      </c>
    </row>
    <row r="363" spans="1:2" x14ac:dyDescent="0.2">
      <c r="A363" s="6">
        <v>45163</v>
      </c>
      <c r="B363" s="16">
        <v>30.246700000000001</v>
      </c>
    </row>
    <row r="364" spans="1:2" x14ac:dyDescent="0.2">
      <c r="A364" s="6">
        <v>45170</v>
      </c>
      <c r="B364" s="16">
        <v>32.046700000000001</v>
      </c>
    </row>
    <row r="365" spans="1:2" x14ac:dyDescent="0.2">
      <c r="A365" s="6">
        <v>45177</v>
      </c>
      <c r="B365" s="16">
        <v>31.077400000000001</v>
      </c>
    </row>
    <row r="366" spans="1:2" x14ac:dyDescent="0.2">
      <c r="A366" s="6">
        <v>45184</v>
      </c>
      <c r="B366" s="16">
        <v>30.257200000000001</v>
      </c>
    </row>
    <row r="367" spans="1:2" x14ac:dyDescent="0.2">
      <c r="A367" s="6">
        <v>45191</v>
      </c>
      <c r="B367" s="16">
        <v>29.314499999999999</v>
      </c>
    </row>
    <row r="368" spans="1:2" x14ac:dyDescent="0.2">
      <c r="A368" s="6">
        <v>45198</v>
      </c>
      <c r="B368" s="16">
        <v>30.064</v>
      </c>
    </row>
    <row r="369" spans="1:2" x14ac:dyDescent="0.2">
      <c r="A369" s="6">
        <v>45205</v>
      </c>
      <c r="B369" s="16">
        <v>30.3261</v>
      </c>
    </row>
    <row r="370" spans="1:2" x14ac:dyDescent="0.2">
      <c r="A370" s="6">
        <v>45212</v>
      </c>
      <c r="B370" s="16">
        <v>30.156600000000001</v>
      </c>
    </row>
    <row r="371" spans="1:2" x14ac:dyDescent="0.2">
      <c r="A371" s="6">
        <v>45219</v>
      </c>
      <c r="B371" s="16">
        <v>28.828600000000002</v>
      </c>
    </row>
    <row r="372" spans="1:2" x14ac:dyDescent="0.2">
      <c r="A372" s="6">
        <v>45226</v>
      </c>
      <c r="B372" s="16">
        <v>27.571100000000001</v>
      </c>
    </row>
    <row r="373" spans="1:2" x14ac:dyDescent="0.2">
      <c r="A373" s="6">
        <v>45233</v>
      </c>
      <c r="B373" s="16">
        <v>30.325600000000001</v>
      </c>
    </row>
    <row r="374" spans="1:2" x14ac:dyDescent="0.2">
      <c r="A374" s="6">
        <v>45240</v>
      </c>
      <c r="B374" s="16">
        <v>31.663699999999999</v>
      </c>
    </row>
    <row r="375" spans="1:2" x14ac:dyDescent="0.2">
      <c r="A375" s="6">
        <v>45247</v>
      </c>
      <c r="B375" s="16">
        <v>32.944800000000001</v>
      </c>
    </row>
    <row r="376" spans="1:2" x14ac:dyDescent="0.2">
      <c r="A376" s="6">
        <v>45254</v>
      </c>
      <c r="B376" s="16">
        <v>32.758800000000001</v>
      </c>
    </row>
    <row r="377" spans="1:2" x14ac:dyDescent="0.2">
      <c r="A377" s="6">
        <v>45261</v>
      </c>
      <c r="B377" s="16">
        <v>33.0015</v>
      </c>
    </row>
    <row r="378" spans="1:2" x14ac:dyDescent="0.2">
      <c r="A378" s="6">
        <v>45268</v>
      </c>
      <c r="B378" s="16">
        <v>33.566200000000002</v>
      </c>
    </row>
    <row r="379" spans="1:2" x14ac:dyDescent="0.2">
      <c r="A379" s="6">
        <v>45275</v>
      </c>
      <c r="B379" s="16">
        <v>36.582599999999999</v>
      </c>
    </row>
    <row r="380" spans="1:2" x14ac:dyDescent="0.2">
      <c r="A380" s="6">
        <v>45282</v>
      </c>
      <c r="B380" s="16">
        <v>35.286299999999997</v>
      </c>
    </row>
    <row r="381" spans="1:2" x14ac:dyDescent="0.2">
      <c r="A381" s="6">
        <v>45289</v>
      </c>
      <c r="B381" s="16">
        <v>35.625999999999998</v>
      </c>
    </row>
    <row r="382" spans="1:2" x14ac:dyDescent="0.2">
      <c r="A382" s="6">
        <v>45296</v>
      </c>
      <c r="B382" s="16">
        <v>33.5289</v>
      </c>
    </row>
    <row r="383" spans="1:2" x14ac:dyDescent="0.2">
      <c r="A383" s="6">
        <v>45303</v>
      </c>
      <c r="B383" s="16">
        <v>34.558100000000003</v>
      </c>
    </row>
    <row r="384" spans="1:2" x14ac:dyDescent="0.2">
      <c r="A384" s="6">
        <v>45310</v>
      </c>
      <c r="B384" s="16">
        <v>37.258499999999998</v>
      </c>
    </row>
    <row r="385" spans="1:2" x14ac:dyDescent="0.2">
      <c r="A385" s="6">
        <v>45317</v>
      </c>
      <c r="B385" s="16">
        <v>37.489699999999999</v>
      </c>
    </row>
    <row r="386" spans="1:2" x14ac:dyDescent="0.2">
      <c r="A386" s="6">
        <v>45324</v>
      </c>
      <c r="B386" s="16">
        <v>38.077599999999997</v>
      </c>
    </row>
    <row r="387" spans="1:2" x14ac:dyDescent="0.2">
      <c r="A387" s="6">
        <v>45331</v>
      </c>
      <c r="B387" s="16">
        <v>40.348700000000001</v>
      </c>
    </row>
    <row r="388" spans="1:2" x14ac:dyDescent="0.2">
      <c r="A388" s="6">
        <v>45338</v>
      </c>
      <c r="B388" s="16">
        <v>40.237200000000001</v>
      </c>
    </row>
    <row r="389" spans="1:2" x14ac:dyDescent="0.2">
      <c r="A389" s="6">
        <v>45345</v>
      </c>
      <c r="B389" s="16">
        <v>40.945</v>
      </c>
    </row>
    <row r="390" spans="1:2" x14ac:dyDescent="0.2">
      <c r="A390" s="6">
        <v>45352</v>
      </c>
      <c r="B390" s="16">
        <v>43.742699999999999</v>
      </c>
    </row>
    <row r="391" spans="1:2" x14ac:dyDescent="0.2">
      <c r="A391" s="6">
        <v>45359</v>
      </c>
      <c r="B391" s="16">
        <v>44.880699999999997</v>
      </c>
    </row>
    <row r="392" spans="1:2" x14ac:dyDescent="0.2">
      <c r="A392" s="6">
        <v>45366</v>
      </c>
      <c r="B392" s="16">
        <v>43.062100000000001</v>
      </c>
    </row>
    <row r="393" spans="1:2" x14ac:dyDescent="0.2">
      <c r="A393" s="6">
        <v>45373</v>
      </c>
      <c r="B393" s="16">
        <v>44.293700000000001</v>
      </c>
    </row>
    <row r="394" spans="1:2" x14ac:dyDescent="0.2">
      <c r="A394" s="6">
        <v>45380</v>
      </c>
      <c r="B394" s="16">
        <v>44.266100000000002</v>
      </c>
    </row>
    <row r="395" spans="1:2" x14ac:dyDescent="0.2">
      <c r="A395" s="6">
        <v>45387</v>
      </c>
      <c r="B395" s="16">
        <v>43.4893</v>
      </c>
    </row>
    <row r="396" spans="1:2" x14ac:dyDescent="0.2">
      <c r="A396" s="6">
        <v>45394</v>
      </c>
      <c r="B396" s="16">
        <v>42.82</v>
      </c>
    </row>
    <row r="397" spans="1:2" x14ac:dyDescent="0.2">
      <c r="A397" s="6">
        <v>45401</v>
      </c>
      <c r="B397" s="16">
        <v>38.865900000000003</v>
      </c>
    </row>
    <row r="398" spans="1:2" x14ac:dyDescent="0.2">
      <c r="A398" s="6">
        <v>45408</v>
      </c>
      <c r="B398" s="16">
        <v>29.406600000000001</v>
      </c>
    </row>
    <row r="399" spans="1:2" x14ac:dyDescent="0.2">
      <c r="A399" s="6">
        <v>45415</v>
      </c>
      <c r="B399" s="16">
        <v>30.009</v>
      </c>
    </row>
    <row r="400" spans="1:2" x14ac:dyDescent="0.2">
      <c r="A400" s="6">
        <v>45422</v>
      </c>
      <c r="B400" s="16">
        <v>31.008199999999999</v>
      </c>
    </row>
    <row r="401" spans="1:2" x14ac:dyDescent="0.2">
      <c r="A401" s="6">
        <v>45429</v>
      </c>
      <c r="B401" s="16">
        <v>32.0242</v>
      </c>
    </row>
    <row r="402" spans="1:2" x14ac:dyDescent="0.2">
      <c r="A402" s="6">
        <v>45436</v>
      </c>
      <c r="B402" s="16">
        <v>33.256999999999998</v>
      </c>
    </row>
    <row r="403" spans="1:2" x14ac:dyDescent="0.2">
      <c r="A403" s="6">
        <v>45443</v>
      </c>
      <c r="B403" s="16">
        <v>32.8508</v>
      </c>
    </row>
    <row r="404" spans="1:2" x14ac:dyDescent="0.2">
      <c r="A404" s="6">
        <v>45450</v>
      </c>
      <c r="B404" s="16">
        <v>33.848399999999998</v>
      </c>
    </row>
    <row r="405" spans="1:2" x14ac:dyDescent="0.2">
      <c r="A405" s="6">
        <v>45457</v>
      </c>
      <c r="B405" s="16">
        <v>36.120899999999999</v>
      </c>
    </row>
    <row r="406" spans="1:2" x14ac:dyDescent="0.2">
      <c r="A406" s="6">
        <v>45464</v>
      </c>
      <c r="B406" s="16">
        <v>35.6023</v>
      </c>
    </row>
    <row r="407" spans="1:2" x14ac:dyDescent="0.2">
      <c r="A407" s="6">
        <v>45471</v>
      </c>
      <c r="B407" s="16">
        <v>35.252699999999997</v>
      </c>
    </row>
    <row r="408" spans="1:2" x14ac:dyDescent="0.2">
      <c r="A408" s="6">
        <v>45478</v>
      </c>
      <c r="B408" s="16">
        <v>36.427599999999998</v>
      </c>
    </row>
    <row r="409" spans="1:2" x14ac:dyDescent="0.2">
      <c r="A409" s="6">
        <v>45485</v>
      </c>
      <c r="B409" s="16">
        <v>37.171399999999998</v>
      </c>
    </row>
    <row r="410" spans="1:2" x14ac:dyDescent="0.2">
      <c r="A410" s="6">
        <v>45492</v>
      </c>
      <c r="B410" s="16">
        <v>33.8506</v>
      </c>
    </row>
    <row r="411" spans="1:2" x14ac:dyDescent="0.2">
      <c r="A411" s="6">
        <v>45499</v>
      </c>
      <c r="B411" s="16">
        <v>32.760100000000001</v>
      </c>
    </row>
    <row r="412" spans="1:2" x14ac:dyDescent="0.2">
      <c r="A412" s="6">
        <v>45506</v>
      </c>
      <c r="B412" s="16">
        <v>31.645600000000002</v>
      </c>
    </row>
    <row r="413" spans="1:2" x14ac:dyDescent="0.2">
      <c r="A413" s="6">
        <v>45513</v>
      </c>
      <c r="B413" s="16">
        <v>32.298200000000001</v>
      </c>
    </row>
    <row r="414" spans="1:2" x14ac:dyDescent="0.2">
      <c r="A414" s="6">
        <v>45520</v>
      </c>
      <c r="B414" s="16">
        <v>35.573799999999999</v>
      </c>
    </row>
    <row r="415" spans="1:2" x14ac:dyDescent="0.2">
      <c r="A415" s="6">
        <v>45527</v>
      </c>
      <c r="B415" s="16">
        <v>36.027200000000001</v>
      </c>
    </row>
    <row r="416" spans="1:2" x14ac:dyDescent="0.2">
      <c r="A416" s="6">
        <v>45534</v>
      </c>
      <c r="B416" s="16">
        <v>35.719799999999999</v>
      </c>
    </row>
    <row r="417" spans="1:2" x14ac:dyDescent="0.2">
      <c r="A417" s="6">
        <v>45541</v>
      </c>
      <c r="B417" s="16">
        <v>31.852699999999999</v>
      </c>
    </row>
    <row r="418" spans="1:2" x14ac:dyDescent="0.2">
      <c r="A418" s="6">
        <v>45548</v>
      </c>
      <c r="B418" s="16">
        <v>35.052900000000001</v>
      </c>
    </row>
    <row r="419" spans="1:2" x14ac:dyDescent="0.2">
      <c r="A419" s="6">
        <v>45555</v>
      </c>
      <c r="B419" s="16">
        <v>35.247</v>
      </c>
    </row>
    <row r="420" spans="1:2" x14ac:dyDescent="0.2">
      <c r="A420" s="6">
        <v>45562</v>
      </c>
      <c r="B420" s="16">
        <v>36.336199999999998</v>
      </c>
    </row>
    <row r="421" spans="1:2" x14ac:dyDescent="0.2">
      <c r="A421" s="6">
        <v>45569</v>
      </c>
      <c r="B421" s="16">
        <v>36.284199999999998</v>
      </c>
    </row>
    <row r="422" spans="1:2" x14ac:dyDescent="0.2">
      <c r="A422" s="6">
        <v>45576</v>
      </c>
      <c r="B422" s="16">
        <v>37.174999999999997</v>
      </c>
    </row>
    <row r="423" spans="1:2" x14ac:dyDescent="0.2">
      <c r="A423" s="6">
        <v>45583</v>
      </c>
      <c r="B423" s="16">
        <v>36.181899999999999</v>
      </c>
    </row>
    <row r="424" spans="1:2" x14ac:dyDescent="0.2">
      <c r="A424" s="6">
        <v>45590</v>
      </c>
      <c r="B424" s="16">
        <v>36.162300000000002</v>
      </c>
    </row>
    <row r="425" spans="1:2" x14ac:dyDescent="0.2">
      <c r="A425" s="6">
        <v>45597</v>
      </c>
      <c r="B425" s="16">
        <v>42.4161</v>
      </c>
    </row>
    <row r="426" spans="1:2" x14ac:dyDescent="0.2">
      <c r="A426" s="6">
        <v>45604</v>
      </c>
      <c r="B426" s="16">
        <v>45.703899999999997</v>
      </c>
    </row>
    <row r="427" spans="1:2" x14ac:dyDescent="0.2">
      <c r="A427" s="6">
        <v>45611</v>
      </c>
      <c r="B427" s="16">
        <v>41.74</v>
      </c>
    </row>
    <row r="428" spans="1:2" x14ac:dyDescent="0.2">
      <c r="A428" s="6">
        <v>45618</v>
      </c>
      <c r="B428" s="16">
        <v>42.731699999999996</v>
      </c>
    </row>
    <row r="429" spans="1:2" x14ac:dyDescent="0.2">
      <c r="A429" s="6">
        <v>45625</v>
      </c>
      <c r="B429" s="16">
        <v>42.445500000000003</v>
      </c>
    </row>
    <row r="430" spans="1:2" x14ac:dyDescent="0.2">
      <c r="A430" s="6">
        <v>45632</v>
      </c>
      <c r="B430" s="16">
        <v>43.915999999999997</v>
      </c>
    </row>
    <row r="431" spans="1:2" x14ac:dyDescent="0.2">
      <c r="A431" s="6">
        <v>45639</v>
      </c>
      <c r="B431" s="16">
        <v>45.290100000000002</v>
      </c>
    </row>
    <row r="432" spans="1:2" x14ac:dyDescent="0.2">
      <c r="A432" s="6">
        <v>45646</v>
      </c>
      <c r="B432" s="16">
        <v>43.946399999999997</v>
      </c>
    </row>
    <row r="433" spans="1:2" x14ac:dyDescent="0.2">
      <c r="A433" s="6">
        <v>45653</v>
      </c>
      <c r="B433" s="16">
        <v>42.1845</v>
      </c>
    </row>
    <row r="434" spans="1:2" x14ac:dyDescent="0.2">
      <c r="A434" s="6">
        <v>45660</v>
      </c>
      <c r="B434" s="16">
        <v>42.535699999999999</v>
      </c>
    </row>
    <row r="435" spans="1:2" x14ac:dyDescent="0.2">
      <c r="A435" s="6">
        <v>45667</v>
      </c>
      <c r="B435" s="16">
        <v>41.501199999999997</v>
      </c>
    </row>
    <row r="436" spans="1:2" x14ac:dyDescent="0.2">
      <c r="A436" s="6">
        <v>45674</v>
      </c>
      <c r="B436" s="16">
        <v>43.707500000000003</v>
      </c>
    </row>
    <row r="437" spans="1:2" x14ac:dyDescent="0.2">
      <c r="A437" s="6">
        <v>45681</v>
      </c>
      <c r="B437" s="16">
        <v>44.038800000000002</v>
      </c>
    </row>
    <row r="438" spans="1:2" x14ac:dyDescent="0.2">
      <c r="A438" s="6">
        <v>45688</v>
      </c>
      <c r="B438" s="16">
        <v>41.667900000000003</v>
      </c>
    </row>
    <row r="439" spans="1:2" x14ac:dyDescent="0.2">
      <c r="A439" s="6">
        <v>45695</v>
      </c>
      <c r="B439" s="16">
        <v>43.910400000000003</v>
      </c>
    </row>
    <row r="440" spans="1:2" x14ac:dyDescent="0.2">
      <c r="A440" s="6">
        <v>45702</v>
      </c>
      <c r="B440" s="16">
        <v>45.573700000000002</v>
      </c>
    </row>
    <row r="441" spans="1:2" x14ac:dyDescent="0.2">
      <c r="A441" s="6">
        <v>45709</v>
      </c>
      <c r="B441" s="16">
        <v>45.332799999999999</v>
      </c>
    </row>
    <row r="442" spans="1:2" x14ac:dyDescent="0.2">
      <c r="A442" s="6">
        <v>45716</v>
      </c>
      <c r="B442" s="16">
        <v>42.015500000000003</v>
      </c>
    </row>
    <row r="443" spans="1:2" x14ac:dyDescent="0.2">
      <c r="A443" s="6">
        <v>45723</v>
      </c>
      <c r="B443" s="16">
        <v>41.2836</v>
      </c>
    </row>
    <row r="444" spans="1:2" x14ac:dyDescent="0.2">
      <c r="A444" s="6">
        <v>45730</v>
      </c>
      <c r="B444" s="16">
        <v>41.010399999999997</v>
      </c>
    </row>
    <row r="445" spans="1:2" x14ac:dyDescent="0.2">
      <c r="A445" s="6">
        <v>45737</v>
      </c>
      <c r="B445" s="16">
        <v>22.794599999999999</v>
      </c>
    </row>
    <row r="446" spans="1:2" x14ac:dyDescent="0.2">
      <c r="A446" s="6">
        <v>45744</v>
      </c>
      <c r="B446" s="16">
        <v>21.1553</v>
      </c>
    </row>
    <row r="447" spans="1:2" x14ac:dyDescent="0.2">
      <c r="A447" s="6">
        <v>45751</v>
      </c>
      <c r="B447" s="16">
        <v>17.757400000000001</v>
      </c>
    </row>
    <row r="448" spans="1:2" x14ac:dyDescent="0.2">
      <c r="A448" s="6">
        <v>45758</v>
      </c>
      <c r="B448" s="16">
        <v>19.6721</v>
      </c>
    </row>
    <row r="449" spans="1:2" x14ac:dyDescent="0.2">
      <c r="A449" s="6">
        <v>45765</v>
      </c>
      <c r="B449" s="16">
        <v>18.979800000000001</v>
      </c>
    </row>
    <row r="450" spans="1:2" x14ac:dyDescent="0.2">
      <c r="A450" s="6">
        <v>45772</v>
      </c>
      <c r="B450" s="16">
        <v>21.3797</v>
      </c>
    </row>
    <row r="451" spans="1:2" x14ac:dyDescent="0.2">
      <c r="A451" s="6">
        <v>45779</v>
      </c>
      <c r="B451" s="16">
        <v>22.2441</v>
      </c>
    </row>
    <row r="452" spans="1:2" x14ac:dyDescent="0.2">
      <c r="A452" s="6">
        <v>45786</v>
      </c>
      <c r="B452" s="16">
        <v>22.9087</v>
      </c>
    </row>
    <row r="453" spans="1:2" x14ac:dyDescent="0.2">
      <c r="A453" s="6">
        <v>45793</v>
      </c>
      <c r="B453" s="16">
        <v>25.281099999999999</v>
      </c>
    </row>
    <row r="454" spans="1:2" x14ac:dyDescent="0.2">
      <c r="A454" s="6">
        <v>45800</v>
      </c>
      <c r="B454" s="16">
        <v>24.1143</v>
      </c>
    </row>
    <row r="455" spans="1:2" x14ac:dyDescent="0.2">
      <c r="A455" s="6">
        <v>45807</v>
      </c>
      <c r="B455" s="16">
        <v>24.501100000000001</v>
      </c>
    </row>
    <row r="456" spans="1:2" x14ac:dyDescent="0.2">
      <c r="A456" s="6">
        <v>45814</v>
      </c>
      <c r="B456" s="16">
        <v>26.1142</v>
      </c>
    </row>
    <row r="457" spans="1:2" x14ac:dyDescent="0.2">
      <c r="A457" s="6">
        <v>45821</v>
      </c>
      <c r="B457" s="16">
        <v>26.456600000000002</v>
      </c>
    </row>
    <row r="458" spans="1:2" x14ac:dyDescent="0.2">
      <c r="A458" s="6">
        <v>45828</v>
      </c>
      <c r="B458" s="16">
        <v>26.979099999999999</v>
      </c>
    </row>
    <row r="459" spans="1:2" x14ac:dyDescent="0.2">
      <c r="A459" s="6">
        <v>45835</v>
      </c>
      <c r="B459" s="16">
        <v>28.261600000000001</v>
      </c>
    </row>
    <row r="460" spans="1:2" x14ac:dyDescent="0.2">
      <c r="A460" s="6">
        <v>45842</v>
      </c>
      <c r="B460" s="16">
        <v>28.740100000000002</v>
      </c>
    </row>
    <row r="461" spans="1:2" x14ac:dyDescent="0.2">
      <c r="A461" s="6">
        <v>45849</v>
      </c>
      <c r="B461" s="16">
        <v>29.014600000000002</v>
      </c>
    </row>
    <row r="462" spans="1:2" x14ac:dyDescent="0.2">
      <c r="A462" s="6">
        <v>45856</v>
      </c>
      <c r="B462" s="16">
        <v>29.2</v>
      </c>
    </row>
    <row r="463" spans="1:2" x14ac:dyDescent="0.2">
      <c r="A463" s="6">
        <v>45863</v>
      </c>
      <c r="B463" s="16">
        <v>29.067</v>
      </c>
    </row>
    <row r="464" spans="1:2" x14ac:dyDescent="0.2">
      <c r="A464" s="6">
        <v>45870</v>
      </c>
      <c r="B464" s="16">
        <v>28.426300000000001</v>
      </c>
    </row>
    <row r="465" spans="1:2" x14ac:dyDescent="0.2">
      <c r="A465" s="6">
        <v>45877</v>
      </c>
      <c r="B465" s="16">
        <v>29.396599999999999</v>
      </c>
    </row>
    <row r="466" spans="1:2" x14ac:dyDescent="0.2">
      <c r="A466" s="6">
        <v>45884</v>
      </c>
      <c r="B466" s="16">
        <v>29.847100000000001</v>
      </c>
    </row>
    <row r="467" spans="1:2" x14ac:dyDescent="0.2">
      <c r="A467" s="6">
        <v>45891</v>
      </c>
      <c r="B467" s="16">
        <v>29.835599999999999</v>
      </c>
    </row>
    <row r="468" spans="1:2" x14ac:dyDescent="0.2">
      <c r="A468" s="6">
        <v>45898</v>
      </c>
      <c r="B468" s="16">
        <v>29.557600000000001</v>
      </c>
    </row>
    <row r="469" spans="1:2" x14ac:dyDescent="0.2">
      <c r="A469" s="6">
        <v>45905</v>
      </c>
      <c r="B469" s="16">
        <v>30.2578</v>
      </c>
    </row>
    <row r="470" spans="1:2" x14ac:dyDescent="0.2">
      <c r="A470" s="6">
        <v>45912</v>
      </c>
      <c r="B470" s="16">
        <v>31.427900000000001</v>
      </c>
    </row>
    <row r="471" spans="1:2" x14ac:dyDescent="0.2">
      <c r="A471" s="6">
        <v>45919</v>
      </c>
      <c r="B471" s="16">
        <v>32.587600000000002</v>
      </c>
    </row>
    <row r="472" spans="1:2" x14ac:dyDescent="0.2">
      <c r="A472" s="6">
        <v>45926</v>
      </c>
      <c r="B472" s="16">
        <v>34.153599999999997</v>
      </c>
    </row>
    <row r="473" spans="1:2" x14ac:dyDescent="0.2">
      <c r="A473" s="6">
        <v>45933</v>
      </c>
      <c r="B473" s="16">
        <v>35.6203</v>
      </c>
    </row>
    <row r="474" spans="1:2" x14ac:dyDescent="0.2">
      <c r="A474" s="6">
        <v>45940</v>
      </c>
      <c r="B474" s="16">
        <v>34.680900000000001</v>
      </c>
    </row>
    <row r="475" spans="1:2" x14ac:dyDescent="0.2">
      <c r="A475" s="6">
        <v>45947</v>
      </c>
      <c r="B475" s="16">
        <v>36.481299999999997</v>
      </c>
    </row>
    <row r="476" spans="1:2" x14ac:dyDescent="0.2">
      <c r="A476" s="6">
        <v>45954</v>
      </c>
      <c r="B476" s="16">
        <v>37.939599999999999</v>
      </c>
    </row>
    <row r="477" spans="1:2" x14ac:dyDescent="0.2">
      <c r="A477" s="6">
        <v>45961</v>
      </c>
      <c r="B477" s="16">
        <v>39.128500000000003</v>
      </c>
    </row>
    <row r="478" spans="1:2" x14ac:dyDescent="0.2">
      <c r="A478" s="6">
        <v>45968</v>
      </c>
      <c r="B478" s="16">
        <v>37.526499999999999</v>
      </c>
    </row>
    <row r="479" spans="1:2" x14ac:dyDescent="0.2">
      <c r="A479" s="6">
        <v>45975</v>
      </c>
      <c r="B479" s="16">
        <v>36.704099999999997</v>
      </c>
    </row>
    <row r="480" spans="1:2" x14ac:dyDescent="0.2">
      <c r="A480" s="6">
        <v>45982</v>
      </c>
      <c r="B480" s="16">
        <v>34.426200000000001</v>
      </c>
    </row>
    <row r="481" spans="1:2" x14ac:dyDescent="0.2">
      <c r="A481" s="6">
        <v>45989</v>
      </c>
      <c r="B481" s="16">
        <v>37.720399999999998</v>
      </c>
    </row>
    <row r="482" spans="1:2" x14ac:dyDescent="0.2">
      <c r="A482" s="6">
        <v>45996</v>
      </c>
      <c r="B482" s="16">
        <v>39.360700000000001</v>
      </c>
    </row>
    <row r="483" spans="1:2" x14ac:dyDescent="0.2">
      <c r="A483" s="6">
        <v>46003</v>
      </c>
      <c r="B483" s="16">
        <v>37.718600000000002</v>
      </c>
    </row>
    <row r="484" spans="1:2" x14ac:dyDescent="0.2">
      <c r="A484" s="6">
        <v>46010</v>
      </c>
      <c r="B484" s="16">
        <v>37.184699999999999</v>
      </c>
    </row>
    <row r="485" spans="1:2" x14ac:dyDescent="0.2">
      <c r="A485" s="6">
        <v>46017</v>
      </c>
      <c r="B485" s="16">
        <v>37.608800000000002</v>
      </c>
    </row>
    <row r="486" spans="1:2" x14ac:dyDescent="0.2">
      <c r="A486" s="6">
        <v>46024</v>
      </c>
      <c r="B486" s="16">
        <v>38.421500000000002</v>
      </c>
    </row>
    <row r="487" spans="1:2" x14ac:dyDescent="0.2">
      <c r="A487" s="6">
        <v>46031</v>
      </c>
      <c r="B487" s="16">
        <v>39.816899999999997</v>
      </c>
    </row>
    <row r="488" spans="1:2" x14ac:dyDescent="0.2">
      <c r="A488" s="6">
        <v>46038</v>
      </c>
      <c r="B488" s="16">
        <v>41.233699999999999</v>
      </c>
    </row>
    <row r="489" spans="1:2" x14ac:dyDescent="0.2">
      <c r="A489" s="6">
        <v>46045</v>
      </c>
      <c r="B489" s="16">
        <v>41.3795</v>
      </c>
    </row>
    <row r="490" spans="1:2" x14ac:dyDescent="0.2">
      <c r="A490" s="6">
        <v>46052</v>
      </c>
      <c r="B490" s="16">
        <v>41.605600000000003</v>
      </c>
    </row>
    <row r="491" spans="1:2" x14ac:dyDescent="0.2">
      <c r="A491" s="6">
        <v>46059</v>
      </c>
      <c r="B491" s="16">
        <v>43.693800000000003</v>
      </c>
    </row>
    <row r="492" spans="1:2" x14ac:dyDescent="0.2">
      <c r="A492" s="6">
        <v>46066</v>
      </c>
      <c r="B492" s="16">
        <v>44.125</v>
      </c>
    </row>
    <row r="493" spans="1:2" x14ac:dyDescent="0.2">
      <c r="A493" s="6">
        <v>46073</v>
      </c>
      <c r="B493" s="16">
        <v>44.7057</v>
      </c>
    </row>
    <row r="494" spans="1:2" x14ac:dyDescent="0.2">
      <c r="A494" s="6">
        <v>46080</v>
      </c>
      <c r="B494" s="16">
        <v>43.798299999999998</v>
      </c>
    </row>
    <row r="495" spans="1:2" x14ac:dyDescent="0.2">
      <c r="A495" s="6">
        <v>46087</v>
      </c>
      <c r="B495" s="16">
        <v>41.002800000000001</v>
      </c>
    </row>
    <row r="496" spans="1:2" x14ac:dyDescent="0.2">
      <c r="A496" s="6">
        <v>46094</v>
      </c>
      <c r="B496" s="16">
        <v>41.690100000000001</v>
      </c>
    </row>
    <row r="497" spans="1:2" x14ac:dyDescent="0.2">
      <c r="A497" s="6">
        <v>46101</v>
      </c>
      <c r="B497" s="16">
        <v>21.0672</v>
      </c>
    </row>
    <row r="498" spans="1:2" x14ac:dyDescent="0.2">
      <c r="A498" s="6">
        <v>46108</v>
      </c>
      <c r="B498" s="16">
        <v>18.8568</v>
      </c>
    </row>
    <row r="499" spans="1:2" x14ac:dyDescent="0.2">
      <c r="A499" s="6">
        <v>46115</v>
      </c>
      <c r="B499" s="16">
        <v>19.8094</v>
      </c>
    </row>
    <row r="500" spans="1:2" x14ac:dyDescent="0.2">
      <c r="A500" s="6">
        <v>46122</v>
      </c>
      <c r="B500" s="16">
        <v>22.293600000000001</v>
      </c>
    </row>
    <row r="501" spans="1:2" x14ac:dyDescent="0.2">
      <c r="A501" s="6">
        <v>46129</v>
      </c>
      <c r="B501" s="16">
        <v>23.824000000000002</v>
      </c>
    </row>
    <row r="502" spans="1:2" x14ac:dyDescent="0.2">
      <c r="A502" s="6">
        <v>46136</v>
      </c>
      <c r="B502" s="16">
        <v>25.7653</v>
      </c>
    </row>
    <row r="503" spans="1:2" x14ac:dyDescent="0.2">
      <c r="A503" s="6">
        <v>46143</v>
      </c>
      <c r="B503" s="16">
        <v>25.939800000000002</v>
      </c>
    </row>
    <row r="504" spans="1:2" x14ac:dyDescent="0.2">
      <c r="A504" s="6">
        <v>46150</v>
      </c>
      <c r="B504" s="16">
        <v>28.717600000000001</v>
      </c>
    </row>
    <row r="505" spans="1:2" x14ac:dyDescent="0.2">
      <c r="A505" s="6">
        <v>46157</v>
      </c>
      <c r="B505" s="16">
        <v>28.093499999999999</v>
      </c>
    </row>
    <row r="506" spans="1:2" x14ac:dyDescent="0.2">
      <c r="A506" s="6">
        <v>46164</v>
      </c>
      <c r="B506" s="16">
        <v>29.319299999999998</v>
      </c>
    </row>
    <row r="507" spans="1:2" x14ac:dyDescent="0.2">
      <c r="A507" s="6">
        <v>46171</v>
      </c>
      <c r="B507" s="16">
        <v>30.726400000000002</v>
      </c>
    </row>
    <row r="508" spans="1:2" x14ac:dyDescent="0.2">
      <c r="A508" s="6">
        <v>46178</v>
      </c>
      <c r="B508" s="16">
        <v>29.197199999999999</v>
      </c>
    </row>
    <row r="509" spans="1:2" x14ac:dyDescent="0.2">
      <c r="A509" s="6">
        <v>46185</v>
      </c>
      <c r="B509" s="16">
        <v>31.816700000000001</v>
      </c>
    </row>
    <row r="510" spans="1:2" x14ac:dyDescent="0.2">
      <c r="A510" s="6">
        <v>46192</v>
      </c>
      <c r="B510" s="16">
        <v>33.774999999999999</v>
      </c>
    </row>
    <row r="511" spans="1:2" x14ac:dyDescent="0.2">
      <c r="A511" s="6">
        <v>46199</v>
      </c>
      <c r="B511" s="16">
        <v>30.376200000000001</v>
      </c>
    </row>
    <row r="512" spans="1:2" x14ac:dyDescent="0.2">
      <c r="A512" s="6">
        <v>46206</v>
      </c>
      <c r="B512" s="16">
        <v>28.923300000000001</v>
      </c>
    </row>
    <row r="513" spans="1:2" x14ac:dyDescent="0.2">
      <c r="A513" s="6">
        <v>46213</v>
      </c>
      <c r="B513" s="16">
        <v>29.739000000000001</v>
      </c>
    </row>
    <row r="514" spans="1:2" x14ac:dyDescent="0.2">
      <c r="A514" s="6">
        <v>46220</v>
      </c>
      <c r="B514" s="16">
        <v>26.572800000000001</v>
      </c>
    </row>
    <row r="515" spans="1:2" x14ac:dyDescent="0.2">
      <c r="A515" s="6">
        <v>46227</v>
      </c>
      <c r="B515" s="16">
        <v>26.6768</v>
      </c>
    </row>
    <row r="516" spans="1:2" x14ac:dyDescent="0.2">
      <c r="A516" s="6">
        <v>46234</v>
      </c>
      <c r="B516" s="16">
        <v>25.511700000000001</v>
      </c>
    </row>
    <row r="517" spans="1:2" x14ac:dyDescent="0.2">
      <c r="A517" s="6">
        <v>46241</v>
      </c>
      <c r="B517" s="16">
        <v>27.779900000000001</v>
      </c>
    </row>
    <row r="518" spans="1:2" x14ac:dyDescent="0.2">
      <c r="A518" s="6">
        <v>46248</v>
      </c>
      <c r="B518" s="16">
        <v>27.873799999999999</v>
      </c>
    </row>
    <row r="519" spans="1:2" x14ac:dyDescent="0.2">
      <c r="A519" s="6">
        <v>46255</v>
      </c>
      <c r="B519" s="16">
        <v>26.2379</v>
      </c>
    </row>
    <row r="520" spans="1:2" x14ac:dyDescent="0.2">
      <c r="A520" s="6">
        <v>46262</v>
      </c>
      <c r="B520" s="16">
        <v>25.572399999999998</v>
      </c>
    </row>
    <row r="521" spans="1:2" x14ac:dyDescent="0.2">
      <c r="A521" s="6">
        <v>46269</v>
      </c>
      <c r="B521" s="16">
        <v>26.272600000000001</v>
      </c>
    </row>
    <row r="522" spans="1:2" x14ac:dyDescent="0.2">
      <c r="A522" s="6">
        <v>46276</v>
      </c>
      <c r="B522" s="16">
        <v>26.445499999999999</v>
      </c>
    </row>
    <row r="523" spans="1:2" x14ac:dyDescent="0.2">
      <c r="A523" s="6">
        <v>46283</v>
      </c>
      <c r="B523" s="16">
        <v>26.662700000000001</v>
      </c>
    </row>
    <row r="524" spans="1:2" x14ac:dyDescent="0.2">
      <c r="A524" s="6">
        <v>46290</v>
      </c>
      <c r="B524" s="16">
        <v>29.321300000000001</v>
      </c>
    </row>
    <row r="525" spans="1:2" x14ac:dyDescent="0.2">
      <c r="A525" s="6">
        <v>46297</v>
      </c>
      <c r="B525" s="16">
        <v>30.0854</v>
      </c>
    </row>
    <row r="526" spans="1:2" x14ac:dyDescent="0.2">
      <c r="A526" s="6">
        <v>46304</v>
      </c>
      <c r="B526" s="16">
        <v>28.776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1"/>
  <sheetViews>
    <sheetView workbookViewId="0"/>
  </sheetViews>
  <sheetFormatPr baseColWidth="10" defaultColWidth="8.83203125" defaultRowHeight="15" x14ac:dyDescent="0.2"/>
  <cols>
    <col min="1" max="4" width="11" customWidth="1"/>
    <col min="5" max="5" width="3" customWidth="1"/>
    <col min="6" max="6" width="28" customWidth="1"/>
    <col min="7" max="7" width="10" customWidth="1"/>
  </cols>
  <sheetData>
    <row r="1" spans="1:7" ht="16" x14ac:dyDescent="0.2">
      <c r="A1" s="1" t="s">
        <v>249</v>
      </c>
    </row>
    <row r="2" spans="1:7" x14ac:dyDescent="0.2">
      <c r="A2" s="4" t="s">
        <v>250</v>
      </c>
    </row>
    <row r="4" spans="1:7" x14ac:dyDescent="0.2">
      <c r="A4" s="5" t="s">
        <v>22</v>
      </c>
      <c r="B4" s="5" t="s">
        <v>251</v>
      </c>
      <c r="C4" s="5" t="s">
        <v>252</v>
      </c>
      <c r="D4" s="5" t="s">
        <v>253</v>
      </c>
    </row>
    <row r="5" spans="1:7" x14ac:dyDescent="0.2">
      <c r="A5" s="6">
        <v>46021</v>
      </c>
      <c r="B5" s="7">
        <v>120400</v>
      </c>
      <c r="C5" s="7">
        <v>652000</v>
      </c>
      <c r="D5" s="7">
        <v>1520</v>
      </c>
      <c r="F5" s="2" t="s">
        <v>254</v>
      </c>
      <c r="G5" s="13">
        <f>B201/B200-1</f>
        <v>-2.4208566108007479E-2</v>
      </c>
    </row>
    <row r="6" spans="1:7" x14ac:dyDescent="0.2">
      <c r="A6" s="6">
        <v>46022</v>
      </c>
      <c r="D6" s="7">
        <v>1550</v>
      </c>
      <c r="F6" s="2" t="s">
        <v>255</v>
      </c>
      <c r="G6" s="13">
        <f>B201/B199-1</f>
        <v>-3.6764705882352922E-2</v>
      </c>
    </row>
    <row r="7" spans="1:7" x14ac:dyDescent="0.2">
      <c r="A7" s="6">
        <v>46024</v>
      </c>
      <c r="B7" s="7">
        <v>129300</v>
      </c>
      <c r="C7" s="7">
        <v>678000</v>
      </c>
      <c r="D7" s="7">
        <v>1585</v>
      </c>
      <c r="F7" s="2" t="s">
        <v>256</v>
      </c>
      <c r="G7" s="13">
        <f>C201/C199-1</f>
        <v>-5.1889452904681277E-2</v>
      </c>
    </row>
    <row r="8" spans="1:7" x14ac:dyDescent="0.2">
      <c r="A8" s="6">
        <v>46027</v>
      </c>
      <c r="B8" s="7">
        <v>139700</v>
      </c>
      <c r="C8" s="7">
        <v>700000</v>
      </c>
      <c r="D8" s="7">
        <v>1670</v>
      </c>
      <c r="F8" s="2" t="s">
        <v>257</v>
      </c>
      <c r="G8" s="13">
        <f>D201/D198-1</f>
        <v>-9.7087378640776656E-3</v>
      </c>
    </row>
    <row r="9" spans="1:7" x14ac:dyDescent="0.2">
      <c r="A9" s="6">
        <v>46028</v>
      </c>
      <c r="B9" s="7">
        <v>136900</v>
      </c>
      <c r="C9" s="7">
        <v>714000</v>
      </c>
      <c r="D9" s="7">
        <v>1705</v>
      </c>
      <c r="F9" s="2" t="s">
        <v>258</v>
      </c>
      <c r="G9" s="15">
        <f>B201/B5-1</f>
        <v>1.176079734219269</v>
      </c>
    </row>
    <row r="10" spans="1:7" x14ac:dyDescent="0.2">
      <c r="A10" s="6">
        <v>46029</v>
      </c>
      <c r="B10" s="7">
        <v>141500</v>
      </c>
      <c r="C10" s="7">
        <v>741000</v>
      </c>
      <c r="D10" s="7">
        <v>1675</v>
      </c>
      <c r="F10" s="2" t="s">
        <v>259</v>
      </c>
      <c r="G10" s="15">
        <f>C201/C5-1</f>
        <v>1.5782208588957056</v>
      </c>
    </row>
    <row r="11" spans="1:7" x14ac:dyDescent="0.2">
      <c r="A11" s="6">
        <v>46030</v>
      </c>
      <c r="B11" s="7">
        <v>139600</v>
      </c>
      <c r="C11" s="7">
        <v>763000</v>
      </c>
      <c r="D11" s="7">
        <v>1685</v>
      </c>
    </row>
    <row r="12" spans="1:7" x14ac:dyDescent="0.2">
      <c r="A12" s="6">
        <v>46031</v>
      </c>
      <c r="B12" s="7">
        <v>139700</v>
      </c>
      <c r="C12" s="7">
        <v>746000</v>
      </c>
      <c r="D12" s="7">
        <v>1680</v>
      </c>
    </row>
    <row r="13" spans="1:7" x14ac:dyDescent="0.2">
      <c r="A13" s="6">
        <v>46034</v>
      </c>
      <c r="B13" s="7">
        <v>138000</v>
      </c>
      <c r="C13" s="7">
        <v>745000</v>
      </c>
      <c r="D13" s="7">
        <v>1690</v>
      </c>
    </row>
    <row r="14" spans="1:7" x14ac:dyDescent="0.2">
      <c r="A14" s="6">
        <v>46035</v>
      </c>
      <c r="B14" s="7">
        <v>138100</v>
      </c>
      <c r="C14" s="7">
        <v>739000</v>
      </c>
      <c r="D14" s="7">
        <v>1710</v>
      </c>
    </row>
    <row r="15" spans="1:7" x14ac:dyDescent="0.2">
      <c r="A15" s="6">
        <v>46036</v>
      </c>
      <c r="B15" s="7">
        <v>139500</v>
      </c>
      <c r="C15" s="7">
        <v>736000</v>
      </c>
      <c r="D15" s="7">
        <v>1710</v>
      </c>
    </row>
    <row r="16" spans="1:7" x14ac:dyDescent="0.2">
      <c r="A16" s="6">
        <v>46037</v>
      </c>
      <c r="B16" s="7">
        <v>145000</v>
      </c>
      <c r="C16" s="7">
        <v>756000</v>
      </c>
      <c r="D16" s="7">
        <v>1690</v>
      </c>
    </row>
    <row r="17" spans="1:4" x14ac:dyDescent="0.2">
      <c r="A17" s="6">
        <v>46038</v>
      </c>
      <c r="B17" s="7">
        <v>149500</v>
      </c>
      <c r="C17" s="7">
        <v>758000</v>
      </c>
      <c r="D17" s="7">
        <v>1740</v>
      </c>
    </row>
    <row r="18" spans="1:4" x14ac:dyDescent="0.2">
      <c r="A18" s="6">
        <v>46041</v>
      </c>
      <c r="B18" s="7">
        <v>148200</v>
      </c>
      <c r="C18" s="7">
        <v>757000</v>
      </c>
      <c r="D18" s="7">
        <v>1760</v>
      </c>
    </row>
    <row r="19" spans="1:4" x14ac:dyDescent="0.2">
      <c r="A19" s="6">
        <v>46042</v>
      </c>
      <c r="B19" s="7">
        <v>142500</v>
      </c>
      <c r="C19" s="7">
        <v>730000</v>
      </c>
      <c r="D19" s="7">
        <v>1775</v>
      </c>
    </row>
    <row r="20" spans="1:4" x14ac:dyDescent="0.2">
      <c r="A20" s="6">
        <v>46043</v>
      </c>
      <c r="B20" s="7">
        <v>149700</v>
      </c>
      <c r="C20" s="7">
        <v>745000</v>
      </c>
      <c r="D20" s="7">
        <v>1740</v>
      </c>
    </row>
    <row r="21" spans="1:4" x14ac:dyDescent="0.2">
      <c r="A21" s="6">
        <v>46044</v>
      </c>
      <c r="B21" s="7">
        <v>154100</v>
      </c>
      <c r="C21" s="7">
        <v>760000</v>
      </c>
      <c r="D21" s="7">
        <v>1760</v>
      </c>
    </row>
    <row r="22" spans="1:4" x14ac:dyDescent="0.2">
      <c r="A22" s="6">
        <v>46045</v>
      </c>
      <c r="B22" s="7">
        <v>151700</v>
      </c>
      <c r="C22" s="7">
        <v>764000</v>
      </c>
      <c r="D22" s="7">
        <v>1770</v>
      </c>
    </row>
    <row r="23" spans="1:4" x14ac:dyDescent="0.2">
      <c r="A23" s="6">
        <v>46048</v>
      </c>
      <c r="B23" s="7">
        <v>152400</v>
      </c>
      <c r="C23" s="7">
        <v>740000</v>
      </c>
      <c r="D23" s="7">
        <v>1755</v>
      </c>
    </row>
    <row r="24" spans="1:4" x14ac:dyDescent="0.2">
      <c r="A24" s="6">
        <v>46049</v>
      </c>
      <c r="B24" s="7">
        <v>159900</v>
      </c>
      <c r="C24" s="7">
        <v>805000</v>
      </c>
      <c r="D24" s="7">
        <v>1780</v>
      </c>
    </row>
    <row r="25" spans="1:4" x14ac:dyDescent="0.2">
      <c r="A25" s="6">
        <v>46050</v>
      </c>
      <c r="B25" s="7">
        <v>164300</v>
      </c>
      <c r="C25" s="7">
        <v>862000</v>
      </c>
      <c r="D25" s="7">
        <v>1820</v>
      </c>
    </row>
    <row r="26" spans="1:4" x14ac:dyDescent="0.2">
      <c r="A26" s="6">
        <v>46051</v>
      </c>
      <c r="B26" s="7">
        <v>161100</v>
      </c>
      <c r="C26" s="7">
        <v>855000</v>
      </c>
      <c r="D26" s="7">
        <v>1805</v>
      </c>
    </row>
    <row r="27" spans="1:4" x14ac:dyDescent="0.2">
      <c r="A27" s="6">
        <v>46052</v>
      </c>
      <c r="B27" s="7">
        <v>160800</v>
      </c>
      <c r="C27" s="7">
        <v>904000</v>
      </c>
      <c r="D27" s="7">
        <v>1775</v>
      </c>
    </row>
    <row r="28" spans="1:4" x14ac:dyDescent="0.2">
      <c r="A28" s="6">
        <v>46055</v>
      </c>
      <c r="B28" s="7">
        <v>151200</v>
      </c>
      <c r="C28" s="7">
        <v>840000</v>
      </c>
      <c r="D28" s="7">
        <v>1765</v>
      </c>
    </row>
    <row r="29" spans="1:4" x14ac:dyDescent="0.2">
      <c r="A29" s="6">
        <v>46056</v>
      </c>
      <c r="B29" s="7">
        <v>167500</v>
      </c>
      <c r="C29" s="7">
        <v>912000</v>
      </c>
      <c r="D29" s="7">
        <v>1800</v>
      </c>
    </row>
    <row r="30" spans="1:4" x14ac:dyDescent="0.2">
      <c r="A30" s="6">
        <v>46057</v>
      </c>
      <c r="B30" s="7">
        <v>168100</v>
      </c>
      <c r="C30" s="7">
        <v>899000</v>
      </c>
      <c r="D30" s="7">
        <v>1785</v>
      </c>
    </row>
    <row r="31" spans="1:4" x14ac:dyDescent="0.2">
      <c r="A31" s="6">
        <v>46058</v>
      </c>
      <c r="B31" s="7">
        <v>161100</v>
      </c>
      <c r="C31" s="7">
        <v>854000</v>
      </c>
      <c r="D31" s="7">
        <v>1765</v>
      </c>
    </row>
    <row r="32" spans="1:4" x14ac:dyDescent="0.2">
      <c r="A32" s="6">
        <v>46059</v>
      </c>
      <c r="B32" s="7">
        <v>161000</v>
      </c>
      <c r="C32" s="7">
        <v>858000</v>
      </c>
      <c r="D32" s="7">
        <v>1780</v>
      </c>
    </row>
    <row r="33" spans="1:4" x14ac:dyDescent="0.2">
      <c r="A33" s="6">
        <v>46062</v>
      </c>
      <c r="B33" s="7">
        <v>163500</v>
      </c>
      <c r="C33" s="7">
        <v>869000</v>
      </c>
      <c r="D33" s="7">
        <v>1815</v>
      </c>
    </row>
    <row r="34" spans="1:4" x14ac:dyDescent="0.2">
      <c r="A34" s="6">
        <v>46063</v>
      </c>
      <c r="B34" s="7">
        <v>166500</v>
      </c>
      <c r="C34" s="7">
        <v>881000</v>
      </c>
      <c r="D34" s="7">
        <v>1880</v>
      </c>
    </row>
    <row r="35" spans="1:4" x14ac:dyDescent="0.2">
      <c r="A35" s="6">
        <v>46064</v>
      </c>
      <c r="B35" s="7">
        <v>166800</v>
      </c>
      <c r="C35" s="7">
        <v>860000</v>
      </c>
      <c r="D35" s="7">
        <v>1915</v>
      </c>
    </row>
    <row r="36" spans="1:4" x14ac:dyDescent="0.2">
      <c r="A36" s="6">
        <v>46065</v>
      </c>
      <c r="B36" s="7">
        <v>179900</v>
      </c>
      <c r="C36" s="7">
        <v>894000</v>
      </c>
    </row>
    <row r="37" spans="1:4" x14ac:dyDescent="0.2">
      <c r="A37" s="6">
        <v>46066</v>
      </c>
      <c r="B37" s="7">
        <v>182400</v>
      </c>
      <c r="C37" s="7">
        <v>886000</v>
      </c>
    </row>
    <row r="38" spans="1:4" x14ac:dyDescent="0.2">
      <c r="A38" s="6">
        <v>46072</v>
      </c>
      <c r="B38" s="7">
        <v>188900</v>
      </c>
      <c r="C38" s="7">
        <v>890000</v>
      </c>
    </row>
    <row r="39" spans="1:4" x14ac:dyDescent="0.2">
      <c r="A39" s="6">
        <v>46073</v>
      </c>
      <c r="B39" s="7">
        <v>190300</v>
      </c>
      <c r="C39" s="7">
        <v>943000</v>
      </c>
    </row>
    <row r="40" spans="1:4" x14ac:dyDescent="0.2">
      <c r="A40" s="6">
        <v>46076</v>
      </c>
      <c r="B40" s="7">
        <v>194200</v>
      </c>
      <c r="C40" s="7">
        <v>956000</v>
      </c>
      <c r="D40" s="7">
        <v>1900</v>
      </c>
    </row>
    <row r="41" spans="1:4" x14ac:dyDescent="0.2">
      <c r="A41" s="6">
        <v>46077</v>
      </c>
      <c r="B41" s="7">
        <v>201000</v>
      </c>
      <c r="C41" s="7">
        <v>1009000</v>
      </c>
      <c r="D41" s="7">
        <v>1965</v>
      </c>
    </row>
    <row r="42" spans="1:4" x14ac:dyDescent="0.2">
      <c r="A42" s="6">
        <v>46078</v>
      </c>
      <c r="B42" s="7">
        <v>205500</v>
      </c>
      <c r="C42" s="7">
        <v>1031000</v>
      </c>
      <c r="D42" s="7">
        <v>2015</v>
      </c>
    </row>
    <row r="43" spans="1:4" x14ac:dyDescent="0.2">
      <c r="A43" s="6">
        <v>46079</v>
      </c>
      <c r="B43" s="7">
        <v>223000</v>
      </c>
      <c r="C43" s="7">
        <v>1109000</v>
      </c>
      <c r="D43" s="7">
        <v>1995</v>
      </c>
    </row>
    <row r="44" spans="1:4" x14ac:dyDescent="0.2">
      <c r="A44" s="6">
        <v>46080</v>
      </c>
      <c r="B44" s="7">
        <v>217500</v>
      </c>
      <c r="C44" s="7">
        <v>1063000</v>
      </c>
    </row>
    <row r="45" spans="1:4" x14ac:dyDescent="0.2">
      <c r="A45" s="6">
        <v>46083</v>
      </c>
      <c r="D45" s="7">
        <v>1975</v>
      </c>
    </row>
    <row r="46" spans="1:4" x14ac:dyDescent="0.2">
      <c r="A46" s="6">
        <v>46084</v>
      </c>
      <c r="B46" s="7">
        <v>186000</v>
      </c>
      <c r="C46" s="7">
        <v>897000</v>
      </c>
      <c r="D46" s="7">
        <v>1935</v>
      </c>
    </row>
    <row r="47" spans="1:4" x14ac:dyDescent="0.2">
      <c r="A47" s="6">
        <v>46085</v>
      </c>
      <c r="B47" s="7">
        <v>181600</v>
      </c>
      <c r="C47" s="7">
        <v>900000</v>
      </c>
      <c r="D47" s="7">
        <v>1865</v>
      </c>
    </row>
    <row r="48" spans="1:4" x14ac:dyDescent="0.2">
      <c r="A48" s="6">
        <v>46086</v>
      </c>
      <c r="B48" s="7">
        <v>193500</v>
      </c>
      <c r="C48" s="7">
        <v>953000</v>
      </c>
      <c r="D48" s="7">
        <v>1900</v>
      </c>
    </row>
    <row r="49" spans="1:4" x14ac:dyDescent="0.2">
      <c r="A49" s="6">
        <v>46087</v>
      </c>
      <c r="B49" s="7">
        <v>185800</v>
      </c>
      <c r="C49" s="7">
        <v>914000</v>
      </c>
      <c r="D49" s="7">
        <v>1890</v>
      </c>
    </row>
    <row r="50" spans="1:4" x14ac:dyDescent="0.2">
      <c r="A50" s="6">
        <v>46090</v>
      </c>
      <c r="B50" s="7">
        <v>171500</v>
      </c>
      <c r="C50" s="7">
        <v>831000</v>
      </c>
      <c r="D50" s="7">
        <v>1810</v>
      </c>
    </row>
    <row r="51" spans="1:4" x14ac:dyDescent="0.2">
      <c r="A51" s="6">
        <v>46091</v>
      </c>
      <c r="B51" s="7">
        <v>189700</v>
      </c>
      <c r="C51" s="7">
        <v>939000</v>
      </c>
      <c r="D51" s="7">
        <v>1850</v>
      </c>
    </row>
    <row r="52" spans="1:4" x14ac:dyDescent="0.2">
      <c r="A52" s="6">
        <v>46092</v>
      </c>
      <c r="B52" s="7">
        <v>189200</v>
      </c>
      <c r="C52" s="7">
        <v>950000</v>
      </c>
      <c r="D52" s="7">
        <v>1940</v>
      </c>
    </row>
    <row r="53" spans="1:4" x14ac:dyDescent="0.2">
      <c r="A53" s="6">
        <v>46093</v>
      </c>
      <c r="B53" s="7">
        <v>188400</v>
      </c>
      <c r="C53" s="7">
        <v>935000</v>
      </c>
      <c r="D53" s="7">
        <v>1885</v>
      </c>
    </row>
    <row r="54" spans="1:4" x14ac:dyDescent="0.2">
      <c r="A54" s="6">
        <v>46094</v>
      </c>
      <c r="B54" s="7">
        <v>184000</v>
      </c>
      <c r="C54" s="7">
        <v>915000</v>
      </c>
      <c r="D54" s="7">
        <v>1865</v>
      </c>
    </row>
    <row r="55" spans="1:4" x14ac:dyDescent="0.2">
      <c r="A55" s="6">
        <v>46097</v>
      </c>
      <c r="B55" s="7">
        <v>191000</v>
      </c>
      <c r="C55" s="7">
        <v>977000</v>
      </c>
      <c r="D55" s="7">
        <v>1845</v>
      </c>
    </row>
    <row r="56" spans="1:4" x14ac:dyDescent="0.2">
      <c r="A56" s="6">
        <v>46098</v>
      </c>
      <c r="B56" s="7">
        <v>194800</v>
      </c>
      <c r="C56" s="7">
        <v>976000</v>
      </c>
      <c r="D56" s="7">
        <v>1870</v>
      </c>
    </row>
    <row r="57" spans="1:4" x14ac:dyDescent="0.2">
      <c r="A57" s="6">
        <v>46099</v>
      </c>
      <c r="B57" s="7">
        <v>209500</v>
      </c>
      <c r="C57" s="7">
        <v>1060000</v>
      </c>
      <c r="D57" s="7">
        <v>1905</v>
      </c>
    </row>
    <row r="58" spans="1:4" x14ac:dyDescent="0.2">
      <c r="A58" s="6">
        <v>46100</v>
      </c>
      <c r="B58" s="7">
        <v>198700</v>
      </c>
      <c r="C58" s="7">
        <v>1001000</v>
      </c>
      <c r="D58" s="7">
        <v>1850</v>
      </c>
    </row>
    <row r="59" spans="1:4" x14ac:dyDescent="0.2">
      <c r="A59" s="6">
        <v>46101</v>
      </c>
      <c r="B59" s="7">
        <v>199800</v>
      </c>
      <c r="C59" s="7">
        <v>1006000</v>
      </c>
      <c r="D59" s="7">
        <v>1840</v>
      </c>
    </row>
    <row r="60" spans="1:4" x14ac:dyDescent="0.2">
      <c r="A60" s="6">
        <v>46104</v>
      </c>
      <c r="B60" s="7">
        <v>185300</v>
      </c>
      <c r="C60" s="7">
        <v>933000</v>
      </c>
      <c r="D60" s="7">
        <v>1810</v>
      </c>
    </row>
    <row r="61" spans="1:4" x14ac:dyDescent="0.2">
      <c r="A61" s="6">
        <v>46105</v>
      </c>
      <c r="B61" s="7">
        <v>190700</v>
      </c>
      <c r="C61" s="7">
        <v>987000</v>
      </c>
      <c r="D61" s="7">
        <v>1810</v>
      </c>
    </row>
    <row r="62" spans="1:4" x14ac:dyDescent="0.2">
      <c r="A62" s="6">
        <v>46106</v>
      </c>
      <c r="B62" s="7">
        <v>191700</v>
      </c>
      <c r="C62" s="7">
        <v>1004000</v>
      </c>
      <c r="D62" s="7">
        <v>1845</v>
      </c>
    </row>
    <row r="63" spans="1:4" x14ac:dyDescent="0.2">
      <c r="A63" s="6">
        <v>46107</v>
      </c>
      <c r="B63" s="7">
        <v>180200</v>
      </c>
      <c r="C63" s="7">
        <v>935000</v>
      </c>
      <c r="D63" s="7">
        <v>1840</v>
      </c>
    </row>
    <row r="64" spans="1:4" x14ac:dyDescent="0.2">
      <c r="A64" s="6">
        <v>46108</v>
      </c>
      <c r="B64" s="7">
        <v>176800</v>
      </c>
      <c r="C64" s="7">
        <v>906000</v>
      </c>
      <c r="D64" s="7">
        <v>1820</v>
      </c>
    </row>
    <row r="65" spans="1:4" x14ac:dyDescent="0.2">
      <c r="A65" s="6">
        <v>46111</v>
      </c>
      <c r="B65" s="7">
        <v>177000</v>
      </c>
      <c r="C65" s="7">
        <v>877000</v>
      </c>
      <c r="D65" s="7">
        <v>1780</v>
      </c>
    </row>
    <row r="66" spans="1:4" x14ac:dyDescent="0.2">
      <c r="A66" s="6">
        <v>46112</v>
      </c>
      <c r="B66" s="7">
        <v>166700</v>
      </c>
      <c r="C66" s="7">
        <v>806000</v>
      </c>
      <c r="D66" s="7">
        <v>1760</v>
      </c>
    </row>
    <row r="67" spans="1:4" x14ac:dyDescent="0.2">
      <c r="A67" s="6">
        <v>46113</v>
      </c>
      <c r="B67" s="7">
        <v>188100</v>
      </c>
      <c r="C67" s="7">
        <v>890000</v>
      </c>
      <c r="D67" s="7">
        <v>1855</v>
      </c>
    </row>
    <row r="68" spans="1:4" x14ac:dyDescent="0.2">
      <c r="A68" s="6">
        <v>46114</v>
      </c>
      <c r="B68" s="7">
        <v>175600</v>
      </c>
      <c r="C68" s="7">
        <v>823000</v>
      </c>
      <c r="D68" s="7">
        <v>1810</v>
      </c>
    </row>
    <row r="69" spans="1:4" x14ac:dyDescent="0.2">
      <c r="A69" s="6">
        <v>46115</v>
      </c>
      <c r="B69" s="7">
        <v>185800</v>
      </c>
      <c r="C69" s="7">
        <v>875000</v>
      </c>
    </row>
    <row r="70" spans="1:4" x14ac:dyDescent="0.2">
      <c r="A70" s="6">
        <v>46118</v>
      </c>
      <c r="B70" s="7">
        <v>196800</v>
      </c>
      <c r="C70" s="7">
        <v>900000</v>
      </c>
    </row>
    <row r="71" spans="1:4" x14ac:dyDescent="0.2">
      <c r="A71" s="6">
        <v>46119</v>
      </c>
      <c r="B71" s="7">
        <v>192700</v>
      </c>
      <c r="C71" s="7">
        <v>895000</v>
      </c>
      <c r="D71" s="7">
        <v>1860</v>
      </c>
    </row>
    <row r="72" spans="1:4" x14ac:dyDescent="0.2">
      <c r="A72" s="6">
        <v>46120</v>
      </c>
      <c r="B72" s="7">
        <v>213000</v>
      </c>
      <c r="C72" s="7">
        <v>1043000</v>
      </c>
      <c r="D72" s="7">
        <v>1950</v>
      </c>
    </row>
    <row r="73" spans="1:4" x14ac:dyDescent="0.2">
      <c r="A73" s="6">
        <v>46121</v>
      </c>
      <c r="B73" s="7">
        <v>203000</v>
      </c>
      <c r="C73" s="7">
        <v>995000</v>
      </c>
      <c r="D73" s="7">
        <v>1955</v>
      </c>
    </row>
    <row r="74" spans="1:4" x14ac:dyDescent="0.2">
      <c r="A74" s="6">
        <v>46122</v>
      </c>
      <c r="B74" s="7">
        <v>207000</v>
      </c>
      <c r="C74" s="7">
        <v>1026000</v>
      </c>
      <c r="D74" s="7">
        <v>2000</v>
      </c>
    </row>
    <row r="75" spans="1:4" x14ac:dyDescent="0.2">
      <c r="A75" s="6">
        <v>46125</v>
      </c>
      <c r="B75" s="7">
        <v>200500</v>
      </c>
      <c r="C75" s="7">
        <v>1032000</v>
      </c>
      <c r="D75" s="7">
        <v>1990</v>
      </c>
    </row>
    <row r="76" spans="1:4" x14ac:dyDescent="0.2">
      <c r="A76" s="6">
        <v>46126</v>
      </c>
      <c r="B76" s="7">
        <v>209000</v>
      </c>
      <c r="C76" s="7">
        <v>1117000</v>
      </c>
      <c r="D76" s="7">
        <v>2055</v>
      </c>
    </row>
    <row r="77" spans="1:4" x14ac:dyDescent="0.2">
      <c r="A77" s="6">
        <v>46127</v>
      </c>
      <c r="B77" s="7">
        <v>212000</v>
      </c>
      <c r="C77" s="7">
        <v>1138000</v>
      </c>
      <c r="D77" s="7">
        <v>2080</v>
      </c>
    </row>
    <row r="78" spans="1:4" x14ac:dyDescent="0.2">
      <c r="A78" s="6">
        <v>46128</v>
      </c>
      <c r="B78" s="7">
        <v>217500</v>
      </c>
      <c r="C78" s="7">
        <v>1148000</v>
      </c>
      <c r="D78" s="7">
        <v>2085</v>
      </c>
    </row>
    <row r="79" spans="1:4" x14ac:dyDescent="0.2">
      <c r="A79" s="6">
        <v>46129</v>
      </c>
      <c r="B79" s="7">
        <v>218000</v>
      </c>
      <c r="C79" s="7">
        <v>1144000</v>
      </c>
      <c r="D79" s="7">
        <v>2030</v>
      </c>
    </row>
    <row r="80" spans="1:4" x14ac:dyDescent="0.2">
      <c r="A80" s="6">
        <v>46132</v>
      </c>
      <c r="B80" s="7">
        <v>215500</v>
      </c>
      <c r="C80" s="7">
        <v>1170000</v>
      </c>
      <c r="D80" s="7">
        <v>2025</v>
      </c>
    </row>
    <row r="81" spans="1:4" x14ac:dyDescent="0.2">
      <c r="A81" s="6">
        <v>46133</v>
      </c>
      <c r="B81" s="7">
        <v>221000</v>
      </c>
      <c r="C81" s="7">
        <v>1247000</v>
      </c>
      <c r="D81" s="7">
        <v>2050</v>
      </c>
    </row>
    <row r="82" spans="1:4" x14ac:dyDescent="0.2">
      <c r="A82" s="6">
        <v>46134</v>
      </c>
      <c r="B82" s="7">
        <v>217500</v>
      </c>
      <c r="C82" s="7">
        <v>1220000</v>
      </c>
      <c r="D82" s="7">
        <v>2050</v>
      </c>
    </row>
    <row r="83" spans="1:4" x14ac:dyDescent="0.2">
      <c r="A83" s="6">
        <v>46135</v>
      </c>
      <c r="B83" s="7">
        <v>222500</v>
      </c>
      <c r="C83" s="7">
        <v>1219000</v>
      </c>
      <c r="D83" s="7">
        <v>2080</v>
      </c>
    </row>
    <row r="84" spans="1:4" x14ac:dyDescent="0.2">
      <c r="A84" s="6">
        <v>46136</v>
      </c>
      <c r="B84" s="7">
        <v>219000</v>
      </c>
      <c r="C84" s="7">
        <v>1227000</v>
      </c>
      <c r="D84" s="7">
        <v>2185</v>
      </c>
    </row>
    <row r="85" spans="1:4" x14ac:dyDescent="0.2">
      <c r="A85" s="6">
        <v>46139</v>
      </c>
      <c r="B85" s="7">
        <v>225000</v>
      </c>
      <c r="C85" s="7">
        <v>1301000</v>
      </c>
      <c r="D85" s="7">
        <v>2265</v>
      </c>
    </row>
    <row r="86" spans="1:4" x14ac:dyDescent="0.2">
      <c r="A86" s="6">
        <v>46140</v>
      </c>
      <c r="B86" s="7">
        <v>220000</v>
      </c>
      <c r="C86" s="7">
        <v>1288000</v>
      </c>
      <c r="D86" s="7">
        <v>2215</v>
      </c>
    </row>
    <row r="87" spans="1:4" x14ac:dyDescent="0.2">
      <c r="A87" s="6">
        <v>46141</v>
      </c>
      <c r="B87" s="7">
        <v>226500</v>
      </c>
      <c r="C87" s="7">
        <v>1300000</v>
      </c>
      <c r="D87" s="7">
        <v>2180</v>
      </c>
    </row>
    <row r="88" spans="1:4" x14ac:dyDescent="0.2">
      <c r="A88" s="6">
        <v>46142</v>
      </c>
      <c r="B88" s="7">
        <v>222500</v>
      </c>
      <c r="C88" s="7">
        <v>1294000</v>
      </c>
      <c r="D88" s="7">
        <v>2135</v>
      </c>
    </row>
    <row r="89" spans="1:4" x14ac:dyDescent="0.2">
      <c r="A89" s="6">
        <v>46146</v>
      </c>
      <c r="B89" s="7">
        <v>230000</v>
      </c>
      <c r="C89" s="7">
        <v>1438000</v>
      </c>
      <c r="D89" s="7">
        <v>2275</v>
      </c>
    </row>
    <row r="90" spans="1:4" x14ac:dyDescent="0.2">
      <c r="A90" s="6">
        <v>46147</v>
      </c>
      <c r="D90" s="7">
        <v>2250</v>
      </c>
    </row>
    <row r="91" spans="1:4" x14ac:dyDescent="0.2">
      <c r="A91" s="6">
        <v>46148</v>
      </c>
      <c r="B91" s="7">
        <v>274000</v>
      </c>
      <c r="C91" s="7">
        <v>1650000</v>
      </c>
      <c r="D91" s="7">
        <v>2250</v>
      </c>
    </row>
    <row r="92" spans="1:4" x14ac:dyDescent="0.2">
      <c r="A92" s="6">
        <v>46149</v>
      </c>
      <c r="B92" s="7">
        <v>270500</v>
      </c>
      <c r="C92" s="7">
        <v>1646000</v>
      </c>
      <c r="D92" s="7">
        <v>2310</v>
      </c>
    </row>
    <row r="93" spans="1:4" x14ac:dyDescent="0.2">
      <c r="A93" s="6">
        <v>46150</v>
      </c>
      <c r="B93" s="7">
        <v>276500</v>
      </c>
      <c r="C93" s="7">
        <v>1681000</v>
      </c>
      <c r="D93" s="7">
        <v>2290</v>
      </c>
    </row>
    <row r="94" spans="1:4" x14ac:dyDescent="0.2">
      <c r="A94" s="6">
        <v>46153</v>
      </c>
      <c r="B94" s="7">
        <v>285500</v>
      </c>
      <c r="C94" s="7">
        <v>1908000</v>
      </c>
      <c r="D94" s="7">
        <v>2235</v>
      </c>
    </row>
    <row r="95" spans="1:4" x14ac:dyDescent="0.2">
      <c r="A95" s="6">
        <v>46154</v>
      </c>
      <c r="B95" s="7">
        <v>272500</v>
      </c>
      <c r="C95" s="7">
        <v>1813000</v>
      </c>
      <c r="D95" s="7">
        <v>2255</v>
      </c>
    </row>
    <row r="96" spans="1:4" x14ac:dyDescent="0.2">
      <c r="A96" s="6">
        <v>46155</v>
      </c>
      <c r="B96" s="7">
        <v>286500</v>
      </c>
      <c r="C96" s="7">
        <v>1992000</v>
      </c>
      <c r="D96" s="7">
        <v>2220</v>
      </c>
    </row>
    <row r="97" spans="1:4" x14ac:dyDescent="0.2">
      <c r="A97" s="6">
        <v>46156</v>
      </c>
      <c r="B97" s="7">
        <v>293000</v>
      </c>
      <c r="C97" s="7">
        <v>1964000</v>
      </c>
      <c r="D97" s="7">
        <v>2270</v>
      </c>
    </row>
    <row r="98" spans="1:4" x14ac:dyDescent="0.2">
      <c r="A98" s="6">
        <v>46157</v>
      </c>
      <c r="B98" s="7">
        <v>273500</v>
      </c>
      <c r="C98" s="7">
        <v>1848000</v>
      </c>
      <c r="D98" s="7">
        <v>2265</v>
      </c>
    </row>
    <row r="99" spans="1:4" x14ac:dyDescent="0.2">
      <c r="A99" s="6">
        <v>46160</v>
      </c>
      <c r="B99" s="7">
        <v>281500</v>
      </c>
      <c r="C99" s="7">
        <v>1840000</v>
      </c>
      <c r="D99" s="7">
        <v>2240</v>
      </c>
    </row>
    <row r="100" spans="1:4" x14ac:dyDescent="0.2">
      <c r="A100" s="6">
        <v>46161</v>
      </c>
      <c r="B100" s="7">
        <v>273500</v>
      </c>
      <c r="C100" s="7">
        <v>1719000</v>
      </c>
      <c r="D100" s="7">
        <v>2205</v>
      </c>
    </row>
    <row r="101" spans="1:4" x14ac:dyDescent="0.2">
      <c r="A101" s="6">
        <v>46162</v>
      </c>
      <c r="B101" s="7">
        <v>280500</v>
      </c>
      <c r="C101" s="7">
        <v>1786000</v>
      </c>
      <c r="D101" s="7">
        <v>2185</v>
      </c>
    </row>
    <row r="102" spans="1:4" x14ac:dyDescent="0.2">
      <c r="A102" s="6">
        <v>46163</v>
      </c>
      <c r="B102" s="7">
        <v>295000</v>
      </c>
      <c r="C102" s="7">
        <v>1903000</v>
      </c>
      <c r="D102" s="7">
        <v>2230</v>
      </c>
    </row>
    <row r="103" spans="1:4" x14ac:dyDescent="0.2">
      <c r="A103" s="6">
        <v>46164</v>
      </c>
      <c r="B103" s="7">
        <v>293000</v>
      </c>
      <c r="C103" s="7">
        <v>1941000</v>
      </c>
      <c r="D103" s="7">
        <v>2255</v>
      </c>
    </row>
    <row r="104" spans="1:4" x14ac:dyDescent="0.2">
      <c r="A104" s="6">
        <v>46167</v>
      </c>
      <c r="D104" s="7">
        <v>2310</v>
      </c>
    </row>
    <row r="105" spans="1:4" x14ac:dyDescent="0.2">
      <c r="A105" s="6">
        <v>46168</v>
      </c>
      <c r="B105" s="7">
        <v>302500</v>
      </c>
      <c r="C105" s="7">
        <v>2090000</v>
      </c>
      <c r="D105" s="7">
        <v>2270</v>
      </c>
    </row>
    <row r="106" spans="1:4" x14ac:dyDescent="0.2">
      <c r="A106" s="6">
        <v>46169</v>
      </c>
      <c r="B106" s="7">
        <v>313500</v>
      </c>
      <c r="C106" s="7">
        <v>2317000</v>
      </c>
      <c r="D106" s="7">
        <v>2300</v>
      </c>
    </row>
    <row r="107" spans="1:4" x14ac:dyDescent="0.2">
      <c r="A107" s="6">
        <v>46170</v>
      </c>
      <c r="B107" s="7">
        <v>295500</v>
      </c>
      <c r="C107" s="7">
        <v>2253000</v>
      </c>
      <c r="D107" s="7">
        <v>2295</v>
      </c>
    </row>
    <row r="108" spans="1:4" x14ac:dyDescent="0.2">
      <c r="A108" s="6">
        <v>46171</v>
      </c>
      <c r="B108" s="7">
        <v>318500</v>
      </c>
      <c r="C108" s="7">
        <v>2350000</v>
      </c>
      <c r="D108" s="7">
        <v>2355</v>
      </c>
    </row>
    <row r="109" spans="1:4" x14ac:dyDescent="0.2">
      <c r="A109" s="6">
        <v>46174</v>
      </c>
      <c r="B109" s="7">
        <v>355000</v>
      </c>
      <c r="C109" s="7">
        <v>2378000</v>
      </c>
      <c r="D109" s="7">
        <v>2355</v>
      </c>
    </row>
    <row r="110" spans="1:4" x14ac:dyDescent="0.2">
      <c r="A110" s="6">
        <v>46175</v>
      </c>
      <c r="B110" s="7">
        <v>362500</v>
      </c>
      <c r="C110" s="7">
        <v>2324000</v>
      </c>
      <c r="D110" s="7">
        <v>2380</v>
      </c>
    </row>
    <row r="111" spans="1:4" x14ac:dyDescent="0.2">
      <c r="A111" s="6">
        <v>46176</v>
      </c>
      <c r="D111" s="7">
        <v>2425</v>
      </c>
    </row>
    <row r="112" spans="1:4" x14ac:dyDescent="0.2">
      <c r="A112" s="6">
        <v>46177</v>
      </c>
      <c r="B112" s="7">
        <v>342000</v>
      </c>
      <c r="C112" s="7">
        <v>2206000</v>
      </c>
      <c r="D112" s="7">
        <v>2385</v>
      </c>
    </row>
    <row r="113" spans="1:4" x14ac:dyDescent="0.2">
      <c r="A113" s="6">
        <v>46178</v>
      </c>
      <c r="B113" s="7">
        <v>329000</v>
      </c>
      <c r="C113" s="7">
        <v>2072000</v>
      </c>
      <c r="D113" s="7">
        <v>2365</v>
      </c>
    </row>
    <row r="114" spans="1:4" x14ac:dyDescent="0.2">
      <c r="A114" s="6">
        <v>46181</v>
      </c>
      <c r="B114" s="7">
        <v>303000</v>
      </c>
      <c r="C114" s="7">
        <v>1978000</v>
      </c>
      <c r="D114" s="7">
        <v>2295</v>
      </c>
    </row>
    <row r="115" spans="1:4" x14ac:dyDescent="0.2">
      <c r="A115" s="6">
        <v>46182</v>
      </c>
      <c r="B115" s="7">
        <v>327000</v>
      </c>
      <c r="C115" s="7">
        <v>2236000</v>
      </c>
      <c r="D115" s="7">
        <v>2305</v>
      </c>
    </row>
    <row r="116" spans="1:4" x14ac:dyDescent="0.2">
      <c r="A116" s="6">
        <v>46183</v>
      </c>
      <c r="B116" s="7">
        <v>297500</v>
      </c>
      <c r="C116" s="7">
        <v>2015000</v>
      </c>
      <c r="D116" s="7">
        <v>2255</v>
      </c>
    </row>
    <row r="117" spans="1:4" x14ac:dyDescent="0.2">
      <c r="A117" s="6">
        <v>46184</v>
      </c>
      <c r="B117" s="7">
        <v>306000</v>
      </c>
      <c r="C117" s="7">
        <v>2138000</v>
      </c>
      <c r="D117" s="7">
        <v>2250</v>
      </c>
    </row>
    <row r="118" spans="1:4" x14ac:dyDescent="0.2">
      <c r="A118" s="6">
        <v>46185</v>
      </c>
      <c r="B118" s="7">
        <v>324500</v>
      </c>
      <c r="C118" s="7">
        <v>2162000</v>
      </c>
      <c r="D118" s="7">
        <v>2310</v>
      </c>
    </row>
    <row r="119" spans="1:4" x14ac:dyDescent="0.2">
      <c r="A119" s="6">
        <v>46188</v>
      </c>
      <c r="B119" s="7">
        <v>341500</v>
      </c>
      <c r="C119" s="7">
        <v>2320000</v>
      </c>
      <c r="D119" s="7">
        <v>2375</v>
      </c>
    </row>
    <row r="120" spans="1:4" x14ac:dyDescent="0.2">
      <c r="A120" s="6">
        <v>46189</v>
      </c>
      <c r="B120" s="7">
        <v>343000</v>
      </c>
      <c r="C120" s="7">
        <v>2418000</v>
      </c>
      <c r="D120" s="7">
        <v>2400</v>
      </c>
    </row>
    <row r="121" spans="1:4" x14ac:dyDescent="0.2">
      <c r="A121" s="6">
        <v>46190</v>
      </c>
      <c r="B121" s="7">
        <v>343000</v>
      </c>
      <c r="C121" s="7">
        <v>2502000</v>
      </c>
      <c r="D121" s="7">
        <v>2385</v>
      </c>
    </row>
    <row r="122" spans="1:4" x14ac:dyDescent="0.2">
      <c r="A122" s="6">
        <v>46191</v>
      </c>
      <c r="B122" s="7">
        <v>363500</v>
      </c>
      <c r="C122" s="7">
        <v>2699000</v>
      </c>
      <c r="D122" s="7">
        <v>2410</v>
      </c>
    </row>
    <row r="123" spans="1:4" x14ac:dyDescent="0.2">
      <c r="A123" s="6">
        <v>46192</v>
      </c>
      <c r="B123" s="7">
        <v>350500</v>
      </c>
      <c r="C123" s="7">
        <v>2755000</v>
      </c>
    </row>
    <row r="124" spans="1:4" x14ac:dyDescent="0.2">
      <c r="A124" s="6">
        <v>46195</v>
      </c>
      <c r="B124" s="7">
        <v>356500</v>
      </c>
      <c r="C124" s="7">
        <v>2959000</v>
      </c>
      <c r="D124" s="7">
        <v>2510</v>
      </c>
    </row>
    <row r="125" spans="1:4" x14ac:dyDescent="0.2">
      <c r="A125" s="6">
        <v>46196</v>
      </c>
      <c r="B125" s="7">
        <v>310500</v>
      </c>
      <c r="C125" s="7">
        <v>2569000</v>
      </c>
      <c r="D125" s="7">
        <v>2490</v>
      </c>
    </row>
    <row r="126" spans="1:4" x14ac:dyDescent="0.2">
      <c r="A126" s="6">
        <v>46197</v>
      </c>
      <c r="B126" s="7">
        <v>339500</v>
      </c>
      <c r="C126" s="7">
        <v>2653000</v>
      </c>
      <c r="D126" s="7">
        <v>2390</v>
      </c>
    </row>
    <row r="127" spans="1:4" x14ac:dyDescent="0.2">
      <c r="A127" s="6">
        <v>46198</v>
      </c>
      <c r="B127" s="7">
        <v>359500</v>
      </c>
      <c r="C127" s="7">
        <v>2939000</v>
      </c>
      <c r="D127" s="7">
        <v>2390</v>
      </c>
    </row>
    <row r="128" spans="1:4" x14ac:dyDescent="0.2">
      <c r="A128" s="6">
        <v>46199</v>
      </c>
      <c r="B128" s="7">
        <v>339000</v>
      </c>
      <c r="C128" s="7">
        <v>2700000</v>
      </c>
      <c r="D128" s="7">
        <v>2340</v>
      </c>
    </row>
    <row r="129" spans="1:4" x14ac:dyDescent="0.2">
      <c r="A129" s="6">
        <v>46202</v>
      </c>
      <c r="B129" s="7">
        <v>325000</v>
      </c>
      <c r="C129" s="7">
        <v>2622000</v>
      </c>
      <c r="D129" s="7">
        <v>2370</v>
      </c>
    </row>
    <row r="130" spans="1:4" x14ac:dyDescent="0.2">
      <c r="A130" s="6">
        <v>46203</v>
      </c>
      <c r="B130" s="7">
        <v>333000</v>
      </c>
      <c r="C130" s="7">
        <v>2640000</v>
      </c>
      <c r="D130" s="7">
        <v>2410</v>
      </c>
    </row>
    <row r="131" spans="1:4" x14ac:dyDescent="0.2">
      <c r="A131" s="6">
        <v>46204</v>
      </c>
      <c r="B131" s="7">
        <v>316000</v>
      </c>
      <c r="C131" s="7">
        <v>2551000</v>
      </c>
      <c r="D131" s="7">
        <v>2505</v>
      </c>
    </row>
    <row r="132" spans="1:4" x14ac:dyDescent="0.2">
      <c r="A132" s="6">
        <v>46205</v>
      </c>
      <c r="B132" s="7">
        <v>290500</v>
      </c>
      <c r="C132" s="7">
        <v>2229000</v>
      </c>
      <c r="D132" s="7">
        <v>2465</v>
      </c>
    </row>
    <row r="133" spans="1:4" x14ac:dyDescent="0.2">
      <c r="A133" s="6">
        <v>46206</v>
      </c>
      <c r="B133" s="7">
        <v>314500</v>
      </c>
      <c r="C133" s="7">
        <v>2424000</v>
      </c>
      <c r="D133" s="7">
        <v>2445</v>
      </c>
    </row>
    <row r="134" spans="1:4" x14ac:dyDescent="0.2">
      <c r="A134" s="6">
        <v>46209</v>
      </c>
      <c r="B134" s="7">
        <v>320000</v>
      </c>
      <c r="C134" s="7">
        <v>2347000</v>
      </c>
      <c r="D134" s="7">
        <v>2460</v>
      </c>
    </row>
    <row r="135" spans="1:4" x14ac:dyDescent="0.2">
      <c r="A135" s="6">
        <v>46210</v>
      </c>
      <c r="B135" s="7">
        <v>291000</v>
      </c>
      <c r="C135" s="7">
        <v>2167000</v>
      </c>
      <c r="D135" s="7">
        <v>2440</v>
      </c>
    </row>
    <row r="136" spans="1:4" x14ac:dyDescent="0.2">
      <c r="A136" s="6">
        <v>46211</v>
      </c>
      <c r="B136" s="7">
        <v>267000</v>
      </c>
      <c r="C136" s="7">
        <v>2025000</v>
      </c>
      <c r="D136" s="7">
        <v>2465</v>
      </c>
    </row>
    <row r="137" spans="1:4" x14ac:dyDescent="0.2">
      <c r="A137" s="6">
        <v>46212</v>
      </c>
      <c r="B137" s="7">
        <v>282500</v>
      </c>
      <c r="C137" s="7">
        <v>2253000</v>
      </c>
      <c r="D137" s="7">
        <v>2415</v>
      </c>
    </row>
    <row r="138" spans="1:4" x14ac:dyDescent="0.2">
      <c r="A138" s="6">
        <v>46213</v>
      </c>
      <c r="B138" s="7">
        <v>286500</v>
      </c>
      <c r="C138" s="7">
        <v>2201000</v>
      </c>
    </row>
    <row r="139" spans="1:4" x14ac:dyDescent="0.2">
      <c r="A139" s="6">
        <v>46216</v>
      </c>
      <c r="B139" s="7">
        <v>257500</v>
      </c>
      <c r="C139" s="7">
        <v>1828000</v>
      </c>
      <c r="D139" s="7">
        <v>2440</v>
      </c>
    </row>
    <row r="140" spans="1:4" x14ac:dyDescent="0.2">
      <c r="A140" s="6">
        <v>46217</v>
      </c>
      <c r="B140" s="7">
        <v>268000</v>
      </c>
      <c r="C140" s="7">
        <v>1941000</v>
      </c>
      <c r="D140" s="7">
        <v>2420</v>
      </c>
    </row>
    <row r="141" spans="1:4" x14ac:dyDescent="0.2">
      <c r="A141" s="6">
        <v>46218</v>
      </c>
      <c r="B141" s="7">
        <v>273500</v>
      </c>
      <c r="C141" s="7">
        <v>2022000</v>
      </c>
      <c r="D141" s="7">
        <v>2440</v>
      </c>
    </row>
    <row r="142" spans="1:4" x14ac:dyDescent="0.2">
      <c r="A142" s="6">
        <v>46219</v>
      </c>
      <c r="B142" s="7">
        <v>253500</v>
      </c>
      <c r="C142" s="7">
        <v>1830000</v>
      </c>
      <c r="D142" s="7">
        <v>2470</v>
      </c>
    </row>
    <row r="143" spans="1:4" x14ac:dyDescent="0.2">
      <c r="A143" s="6">
        <v>46220</v>
      </c>
      <c r="D143" s="7">
        <v>2290</v>
      </c>
    </row>
    <row r="144" spans="1:4" x14ac:dyDescent="0.2">
      <c r="A144" s="6">
        <v>46223</v>
      </c>
      <c r="B144" s="7">
        <v>251500</v>
      </c>
      <c r="C144" s="7">
        <v>1841000</v>
      </c>
      <c r="D144" s="7">
        <v>2320</v>
      </c>
    </row>
    <row r="145" spans="1:4" x14ac:dyDescent="0.2">
      <c r="A145" s="6">
        <v>46224</v>
      </c>
      <c r="B145" s="7">
        <v>263500</v>
      </c>
      <c r="C145" s="7">
        <v>1872000</v>
      </c>
      <c r="D145" s="7">
        <v>2410</v>
      </c>
    </row>
    <row r="146" spans="1:4" x14ac:dyDescent="0.2">
      <c r="A146" s="6">
        <v>46225</v>
      </c>
      <c r="B146" s="7">
        <v>260000</v>
      </c>
      <c r="C146" s="7">
        <v>1830000</v>
      </c>
      <c r="D146" s="7">
        <v>2400</v>
      </c>
    </row>
    <row r="147" spans="1:4" x14ac:dyDescent="0.2">
      <c r="A147" s="6">
        <v>46226</v>
      </c>
      <c r="B147" s="7">
        <v>273000</v>
      </c>
      <c r="C147" s="7">
        <v>1947000</v>
      </c>
      <c r="D147" s="7">
        <v>2405</v>
      </c>
    </row>
    <row r="148" spans="1:4" x14ac:dyDescent="0.2">
      <c r="A148" s="6">
        <v>46227</v>
      </c>
      <c r="B148" s="7">
        <v>252500</v>
      </c>
      <c r="C148" s="7">
        <v>1781000</v>
      </c>
      <c r="D148" s="7">
        <v>2350</v>
      </c>
    </row>
    <row r="149" spans="1:4" x14ac:dyDescent="0.2">
      <c r="A149" s="6">
        <v>46230</v>
      </c>
      <c r="B149" s="7">
        <v>255000</v>
      </c>
      <c r="C149" s="7">
        <v>1819000</v>
      </c>
      <c r="D149" s="7">
        <v>2350</v>
      </c>
    </row>
    <row r="150" spans="1:4" x14ac:dyDescent="0.2">
      <c r="A150" s="6">
        <v>46231</v>
      </c>
      <c r="B150" s="7">
        <v>218000</v>
      </c>
      <c r="C150" s="7">
        <v>1525000</v>
      </c>
      <c r="D150" s="7">
        <v>2280</v>
      </c>
    </row>
    <row r="151" spans="1:4" x14ac:dyDescent="0.2">
      <c r="A151" s="6">
        <v>46232</v>
      </c>
      <c r="B151" s="7">
        <v>214000</v>
      </c>
      <c r="C151" s="7">
        <v>1410000</v>
      </c>
      <c r="D151" s="7">
        <v>2200</v>
      </c>
    </row>
    <row r="152" spans="1:4" x14ac:dyDescent="0.2">
      <c r="A152" s="6">
        <v>46233</v>
      </c>
      <c r="B152" s="7">
        <v>213500</v>
      </c>
      <c r="C152" s="7">
        <v>1359000</v>
      </c>
      <c r="D152" s="7">
        <v>2205</v>
      </c>
    </row>
    <row r="153" spans="1:4" x14ac:dyDescent="0.2">
      <c r="A153" s="6">
        <v>46234</v>
      </c>
      <c r="B153" s="7">
        <v>259000</v>
      </c>
      <c r="C153" s="7">
        <v>1718000</v>
      </c>
      <c r="D153" s="7">
        <v>2425</v>
      </c>
    </row>
    <row r="154" spans="1:4" x14ac:dyDescent="0.2">
      <c r="A154" s="6">
        <v>46237</v>
      </c>
      <c r="B154" s="7">
        <v>233500</v>
      </c>
      <c r="C154" s="7">
        <v>1521000</v>
      </c>
      <c r="D154" s="7">
        <v>2370</v>
      </c>
    </row>
    <row r="155" spans="1:4" x14ac:dyDescent="0.2">
      <c r="A155" s="6">
        <v>46238</v>
      </c>
      <c r="B155" s="7">
        <v>242000</v>
      </c>
      <c r="C155" s="7">
        <v>1609000</v>
      </c>
      <c r="D155" s="7">
        <v>2320</v>
      </c>
    </row>
    <row r="156" spans="1:4" x14ac:dyDescent="0.2">
      <c r="A156" s="6">
        <v>46239</v>
      </c>
      <c r="B156" s="7">
        <v>242000</v>
      </c>
      <c r="C156" s="7">
        <v>1616000</v>
      </c>
      <c r="D156" s="7">
        <v>2405</v>
      </c>
    </row>
    <row r="157" spans="1:4" x14ac:dyDescent="0.2">
      <c r="A157" s="6">
        <v>46240</v>
      </c>
      <c r="B157" s="7">
        <v>230000</v>
      </c>
      <c r="C157" s="7">
        <v>1496000</v>
      </c>
      <c r="D157" s="7">
        <v>2365</v>
      </c>
    </row>
    <row r="158" spans="1:4" x14ac:dyDescent="0.2">
      <c r="A158" s="6">
        <v>46241</v>
      </c>
      <c r="B158" s="7">
        <v>235000</v>
      </c>
      <c r="C158" s="7">
        <v>1466000</v>
      </c>
      <c r="D158" s="7">
        <v>2370</v>
      </c>
    </row>
    <row r="159" spans="1:4" x14ac:dyDescent="0.2">
      <c r="A159" s="6">
        <v>46244</v>
      </c>
      <c r="B159" s="7">
        <v>231500</v>
      </c>
      <c r="C159" s="7">
        <v>1418000</v>
      </c>
      <c r="D159" s="7">
        <v>2380</v>
      </c>
    </row>
    <row r="160" spans="1:4" x14ac:dyDescent="0.2">
      <c r="A160" s="6">
        <v>46245</v>
      </c>
      <c r="B160" s="7">
        <v>241000</v>
      </c>
      <c r="C160" s="7">
        <v>1433000</v>
      </c>
      <c r="D160" s="7">
        <v>2395</v>
      </c>
    </row>
    <row r="161" spans="1:4" x14ac:dyDescent="0.2">
      <c r="A161" s="6">
        <v>46246</v>
      </c>
      <c r="B161" s="7">
        <v>258000</v>
      </c>
      <c r="C161" s="7">
        <v>1521000</v>
      </c>
      <c r="D161" s="7">
        <v>2415</v>
      </c>
    </row>
    <row r="162" spans="1:4" x14ac:dyDescent="0.2">
      <c r="A162" s="6">
        <v>46247</v>
      </c>
      <c r="B162" s="7">
        <v>263000</v>
      </c>
      <c r="C162" s="7">
        <v>1572000</v>
      </c>
      <c r="D162" s="7">
        <v>2435</v>
      </c>
    </row>
    <row r="163" spans="1:4" x14ac:dyDescent="0.2">
      <c r="A163" s="6">
        <v>46248</v>
      </c>
      <c r="B163" s="7">
        <v>274500</v>
      </c>
      <c r="C163" s="7">
        <v>1667000</v>
      </c>
      <c r="D163" s="7">
        <v>2395</v>
      </c>
    </row>
    <row r="164" spans="1:4" x14ac:dyDescent="0.2">
      <c r="A164" s="6">
        <v>46251</v>
      </c>
      <c r="D164" s="7">
        <v>2400</v>
      </c>
    </row>
    <row r="165" spans="1:4" x14ac:dyDescent="0.2">
      <c r="A165" s="6">
        <v>46252</v>
      </c>
      <c r="B165" s="7">
        <v>263500</v>
      </c>
      <c r="C165" s="7">
        <v>1621000</v>
      </c>
      <c r="D165" s="7">
        <v>2380</v>
      </c>
    </row>
    <row r="166" spans="1:4" x14ac:dyDescent="0.2">
      <c r="A166" s="6">
        <v>46253</v>
      </c>
      <c r="B166" s="7">
        <v>257500</v>
      </c>
      <c r="C166" s="7">
        <v>1624000</v>
      </c>
      <c r="D166" s="7">
        <v>2350</v>
      </c>
    </row>
    <row r="167" spans="1:4" x14ac:dyDescent="0.2">
      <c r="A167" s="6">
        <v>46254</v>
      </c>
      <c r="B167" s="7">
        <v>273000</v>
      </c>
      <c r="C167" s="7">
        <v>1710000</v>
      </c>
      <c r="D167" s="7">
        <v>2375</v>
      </c>
    </row>
    <row r="168" spans="1:4" x14ac:dyDescent="0.2">
      <c r="A168" s="6">
        <v>46255</v>
      </c>
      <c r="B168" s="7">
        <v>270000</v>
      </c>
      <c r="C168" s="7">
        <v>1761000</v>
      </c>
      <c r="D168" s="7">
        <v>2410</v>
      </c>
    </row>
    <row r="169" spans="1:4" x14ac:dyDescent="0.2">
      <c r="A169" s="6">
        <v>46258</v>
      </c>
      <c r="B169" s="7">
        <v>256000</v>
      </c>
      <c r="C169" s="7">
        <v>1664000</v>
      </c>
      <c r="D169" s="7">
        <v>2375</v>
      </c>
    </row>
    <row r="170" spans="1:4" x14ac:dyDescent="0.2">
      <c r="A170" s="6">
        <v>46259</v>
      </c>
      <c r="B170" s="7">
        <v>261000</v>
      </c>
      <c r="C170" s="7">
        <v>1715000</v>
      </c>
      <c r="D170" s="7">
        <v>2400</v>
      </c>
    </row>
    <row r="171" spans="1:4" x14ac:dyDescent="0.2">
      <c r="A171" s="6">
        <v>46260</v>
      </c>
      <c r="B171" s="7">
        <v>259500</v>
      </c>
      <c r="C171" s="7">
        <v>1680000</v>
      </c>
      <c r="D171" s="7">
        <v>2415</v>
      </c>
    </row>
    <row r="172" spans="1:4" x14ac:dyDescent="0.2">
      <c r="A172" s="6">
        <v>46261</v>
      </c>
      <c r="B172" s="7">
        <v>267000</v>
      </c>
      <c r="C172" s="7">
        <v>1743000</v>
      </c>
      <c r="D172" s="7">
        <v>2410</v>
      </c>
    </row>
    <row r="173" spans="1:4" x14ac:dyDescent="0.2">
      <c r="A173" s="6">
        <v>46262</v>
      </c>
      <c r="B173" s="7">
        <v>256500</v>
      </c>
      <c r="C173" s="7">
        <v>1658000</v>
      </c>
      <c r="D173" s="7">
        <v>2420</v>
      </c>
    </row>
    <row r="174" spans="1:4" x14ac:dyDescent="0.2">
      <c r="A174" s="6">
        <v>46265</v>
      </c>
      <c r="B174" s="7">
        <v>258000</v>
      </c>
      <c r="C174" s="7">
        <v>1653000</v>
      </c>
      <c r="D174" s="7">
        <v>2405</v>
      </c>
    </row>
    <row r="175" spans="1:4" x14ac:dyDescent="0.2">
      <c r="A175" s="6">
        <v>46266</v>
      </c>
      <c r="B175" s="7">
        <v>255000</v>
      </c>
      <c r="C175" s="7">
        <v>1652000</v>
      </c>
      <c r="D175" s="7">
        <v>2440</v>
      </c>
    </row>
    <row r="176" spans="1:4" x14ac:dyDescent="0.2">
      <c r="A176" s="6">
        <v>46267</v>
      </c>
      <c r="B176" s="7">
        <v>248500</v>
      </c>
      <c r="C176" s="7">
        <v>1597000</v>
      </c>
      <c r="D176" s="7">
        <v>2385</v>
      </c>
    </row>
    <row r="177" spans="1:4" x14ac:dyDescent="0.2">
      <c r="A177" s="6">
        <v>46268</v>
      </c>
      <c r="B177" s="7">
        <v>248000</v>
      </c>
      <c r="C177" s="7">
        <v>1580000</v>
      </c>
      <c r="D177" s="7">
        <v>2390</v>
      </c>
    </row>
    <row r="178" spans="1:4" x14ac:dyDescent="0.2">
      <c r="A178" s="6">
        <v>46269</v>
      </c>
      <c r="B178" s="7">
        <v>257000</v>
      </c>
      <c r="C178" s="7">
        <v>1662000</v>
      </c>
      <c r="D178" s="7">
        <v>2410</v>
      </c>
    </row>
    <row r="179" spans="1:4" x14ac:dyDescent="0.2">
      <c r="A179" s="6">
        <v>46272</v>
      </c>
      <c r="B179" s="7">
        <v>269500</v>
      </c>
      <c r="C179" s="7">
        <v>1787000</v>
      </c>
      <c r="D179" s="7">
        <v>2460</v>
      </c>
    </row>
    <row r="180" spans="1:4" x14ac:dyDescent="0.2">
      <c r="A180" s="6">
        <v>46273</v>
      </c>
      <c r="B180" s="7">
        <v>272000</v>
      </c>
      <c r="C180" s="7">
        <v>1814000</v>
      </c>
      <c r="D180" s="7">
        <v>2470</v>
      </c>
    </row>
    <row r="181" spans="1:4" x14ac:dyDescent="0.2">
      <c r="A181" s="6">
        <v>46274</v>
      </c>
      <c r="B181" s="7">
        <v>267500</v>
      </c>
      <c r="C181" s="7">
        <v>1832000</v>
      </c>
      <c r="D181" s="7">
        <v>2465</v>
      </c>
    </row>
    <row r="182" spans="1:4" x14ac:dyDescent="0.2">
      <c r="A182" s="6">
        <v>46275</v>
      </c>
      <c r="B182" s="7">
        <v>266500</v>
      </c>
      <c r="C182" s="7">
        <v>1850000</v>
      </c>
      <c r="D182" s="7">
        <v>2450</v>
      </c>
    </row>
    <row r="183" spans="1:4" x14ac:dyDescent="0.2">
      <c r="A183" s="6">
        <v>46276</v>
      </c>
      <c r="B183" s="7">
        <v>262000</v>
      </c>
      <c r="C183" s="7">
        <v>1832000</v>
      </c>
      <c r="D183" s="7">
        <v>2410</v>
      </c>
    </row>
    <row r="184" spans="1:4" x14ac:dyDescent="0.2">
      <c r="A184" s="6">
        <v>46279</v>
      </c>
      <c r="B184" s="7">
        <v>249000</v>
      </c>
      <c r="C184" s="7">
        <v>1697000</v>
      </c>
      <c r="D184" s="7">
        <v>2380</v>
      </c>
    </row>
    <row r="185" spans="1:4" x14ac:dyDescent="0.2">
      <c r="A185" s="6">
        <v>46280</v>
      </c>
      <c r="B185" s="7">
        <v>248500</v>
      </c>
      <c r="C185" s="7">
        <v>1690000</v>
      </c>
      <c r="D185" s="7">
        <v>2385</v>
      </c>
    </row>
    <row r="186" spans="1:4" x14ac:dyDescent="0.2">
      <c r="A186" s="6">
        <v>46281</v>
      </c>
      <c r="B186" s="7">
        <v>253500</v>
      </c>
      <c r="C186" s="7">
        <v>1759000</v>
      </c>
      <c r="D186" s="7">
        <v>2380</v>
      </c>
    </row>
    <row r="187" spans="1:4" x14ac:dyDescent="0.2">
      <c r="A187" s="6">
        <v>46282</v>
      </c>
      <c r="B187" s="7">
        <v>252500</v>
      </c>
      <c r="C187" s="7">
        <v>1745000</v>
      </c>
      <c r="D187" s="7">
        <v>2425</v>
      </c>
    </row>
    <row r="188" spans="1:4" x14ac:dyDescent="0.2">
      <c r="A188" s="6">
        <v>46283</v>
      </c>
      <c r="B188" s="7">
        <v>261000</v>
      </c>
      <c r="C188" s="7">
        <v>1857000</v>
      </c>
      <c r="D188" s="7">
        <v>2460</v>
      </c>
    </row>
    <row r="189" spans="1:4" x14ac:dyDescent="0.2">
      <c r="A189" s="6">
        <v>46286</v>
      </c>
      <c r="B189" s="7">
        <v>274000</v>
      </c>
      <c r="C189" s="7">
        <v>1868000</v>
      </c>
      <c r="D189" s="7">
        <v>2480</v>
      </c>
    </row>
    <row r="190" spans="1:4" x14ac:dyDescent="0.2">
      <c r="A190" s="6">
        <v>46287</v>
      </c>
      <c r="B190" s="7">
        <v>276500</v>
      </c>
      <c r="C190" s="7">
        <v>1840000</v>
      </c>
      <c r="D190" s="7">
        <v>2460</v>
      </c>
    </row>
    <row r="191" spans="1:4" x14ac:dyDescent="0.2">
      <c r="A191" s="6">
        <v>46288</v>
      </c>
      <c r="B191" s="7">
        <v>285500</v>
      </c>
      <c r="C191" s="7">
        <v>1862000</v>
      </c>
      <c r="D191" s="7">
        <v>2500</v>
      </c>
    </row>
    <row r="192" spans="1:4" x14ac:dyDescent="0.2">
      <c r="A192" s="6">
        <v>46289</v>
      </c>
      <c r="D192" s="7">
        <v>2475</v>
      </c>
    </row>
    <row r="193" spans="1:4" x14ac:dyDescent="0.2">
      <c r="A193" s="6">
        <v>46293</v>
      </c>
      <c r="B193" s="7">
        <v>270000</v>
      </c>
      <c r="C193" s="7">
        <v>1768000</v>
      </c>
    </row>
    <row r="194" spans="1:4" x14ac:dyDescent="0.2">
      <c r="A194" s="6">
        <v>46294</v>
      </c>
      <c r="B194" s="7">
        <v>272500</v>
      </c>
      <c r="C194" s="7">
        <v>1765000</v>
      </c>
      <c r="D194" s="7">
        <v>2475</v>
      </c>
    </row>
    <row r="195" spans="1:4" x14ac:dyDescent="0.2">
      <c r="A195" s="6">
        <v>46295</v>
      </c>
      <c r="B195" s="7">
        <v>268500</v>
      </c>
      <c r="C195" s="7">
        <v>1776000</v>
      </c>
      <c r="D195" s="7">
        <v>2480</v>
      </c>
    </row>
    <row r="196" spans="1:4" x14ac:dyDescent="0.2">
      <c r="A196" s="6">
        <v>46296</v>
      </c>
      <c r="B196" s="7">
        <v>276000</v>
      </c>
      <c r="C196" s="7">
        <v>1833000</v>
      </c>
      <c r="D196" s="7">
        <v>2510</v>
      </c>
    </row>
    <row r="197" spans="1:4" x14ac:dyDescent="0.2">
      <c r="A197" s="6">
        <v>46297</v>
      </c>
      <c r="B197" s="7">
        <v>276000</v>
      </c>
      <c r="C197" s="7">
        <v>1841000</v>
      </c>
      <c r="D197" s="7">
        <v>2500</v>
      </c>
    </row>
    <row r="198" spans="1:4" x14ac:dyDescent="0.2">
      <c r="A198" s="6">
        <v>46300</v>
      </c>
      <c r="D198" s="7">
        <v>2575</v>
      </c>
    </row>
    <row r="199" spans="1:4" x14ac:dyDescent="0.2">
      <c r="A199" s="6">
        <v>46301</v>
      </c>
      <c r="B199" s="7">
        <v>272000</v>
      </c>
      <c r="C199" s="7">
        <v>1773000</v>
      </c>
      <c r="D199" s="7">
        <v>2585</v>
      </c>
    </row>
    <row r="200" spans="1:4" x14ac:dyDescent="0.2">
      <c r="A200" s="6">
        <v>46302</v>
      </c>
      <c r="B200" s="7">
        <v>268500</v>
      </c>
      <c r="C200" s="7">
        <v>1723000</v>
      </c>
      <c r="D200" s="7">
        <v>2585</v>
      </c>
    </row>
    <row r="201" spans="1:4" x14ac:dyDescent="0.2">
      <c r="A201" s="6">
        <v>46303</v>
      </c>
      <c r="B201" s="7">
        <v>262000</v>
      </c>
      <c r="C201" s="7">
        <v>1681000</v>
      </c>
      <c r="D201" s="7">
        <v>2550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8"/>
  <sheetViews>
    <sheetView workbookViewId="0"/>
  </sheetViews>
  <sheetFormatPr baseColWidth="10" defaultColWidth="8.83203125" defaultRowHeight="15" x14ac:dyDescent="0.2"/>
  <cols>
    <col min="1" max="2" width="11" customWidth="1"/>
    <col min="3" max="3" width="10" customWidth="1"/>
    <col min="4" max="4" width="3" customWidth="1"/>
    <col min="5" max="5" width="28" customWidth="1"/>
    <col min="6" max="6" width="11" customWidth="1"/>
  </cols>
  <sheetData>
    <row r="1" spans="1:6" ht="16" x14ac:dyDescent="0.2">
      <c r="A1" s="1" t="s">
        <v>260</v>
      </c>
    </row>
    <row r="2" spans="1:6" x14ac:dyDescent="0.2">
      <c r="A2" s="4" t="s">
        <v>261</v>
      </c>
    </row>
    <row r="4" spans="1:6" x14ac:dyDescent="0.2">
      <c r="A4" s="5" t="s">
        <v>22</v>
      </c>
      <c r="B4" s="5" t="s">
        <v>262</v>
      </c>
      <c r="C4" s="5" t="s">
        <v>263</v>
      </c>
    </row>
    <row r="5" spans="1:6" x14ac:dyDescent="0.2">
      <c r="A5" s="6">
        <v>46021</v>
      </c>
      <c r="B5" s="9">
        <v>8646.9380000000001</v>
      </c>
      <c r="C5" s="9">
        <v>846.572</v>
      </c>
      <c r="E5" s="2" t="s">
        <v>264</v>
      </c>
      <c r="F5" s="18">
        <f>B184</f>
        <v>6118.86</v>
      </c>
    </row>
    <row r="6" spans="1:6" x14ac:dyDescent="0.2">
      <c r="A6" s="6">
        <v>46024</v>
      </c>
      <c r="B6" s="9">
        <v>8748.1319999999996</v>
      </c>
      <c r="C6" s="9">
        <v>852.00099999999998</v>
      </c>
      <c r="E6" s="2" t="s">
        <v>265</v>
      </c>
      <c r="F6" s="18">
        <f>B188</f>
        <v>6093.759</v>
      </c>
    </row>
    <row r="7" spans="1:6" x14ac:dyDescent="0.2">
      <c r="A7" s="6">
        <v>46027</v>
      </c>
      <c r="B7" s="9">
        <v>8859.1910000000007</v>
      </c>
      <c r="C7" s="9">
        <v>859.77499999999998</v>
      </c>
      <c r="E7" s="2" t="s">
        <v>266</v>
      </c>
      <c r="F7" s="13">
        <f>F6/F5-1</f>
        <v>-4.1022347299987105E-3</v>
      </c>
    </row>
    <row r="8" spans="1:6" x14ac:dyDescent="0.2">
      <c r="A8" s="6">
        <v>46028</v>
      </c>
      <c r="B8" s="9">
        <v>8933.6090000000004</v>
      </c>
      <c r="C8" s="9">
        <v>865.06</v>
      </c>
      <c r="E8" s="2" t="s">
        <v>267</v>
      </c>
      <c r="F8" s="13">
        <f>F6/B5-1</f>
        <v>-0.29526972438104682</v>
      </c>
    </row>
    <row r="9" spans="1:6" x14ac:dyDescent="0.2">
      <c r="A9" s="6">
        <v>46029</v>
      </c>
      <c r="B9" s="9">
        <v>8944.8130000000001</v>
      </c>
      <c r="C9" s="9">
        <v>871.32600000000002</v>
      </c>
      <c r="E9" s="2" t="s">
        <v>268</v>
      </c>
      <c r="F9" s="13">
        <f>C188/C184-1</f>
        <v>-2.5993229824579078E-3</v>
      </c>
    </row>
    <row r="10" spans="1:6" x14ac:dyDescent="0.2">
      <c r="A10" s="6">
        <v>46030</v>
      </c>
      <c r="B10" s="9">
        <v>8925.4709999999995</v>
      </c>
      <c r="C10" s="9">
        <v>867.62099999999998</v>
      </c>
      <c r="E10" s="2" t="s">
        <v>269</v>
      </c>
      <c r="F10" s="13">
        <f>C188/C5-1</f>
        <v>-0.28929140108579066</v>
      </c>
    </row>
    <row r="11" spans="1:6" x14ac:dyDescent="0.2">
      <c r="A11" s="6">
        <v>46031</v>
      </c>
      <c r="B11" s="9">
        <v>8936.7540000000008</v>
      </c>
      <c r="C11" s="9">
        <v>868.02499999999998</v>
      </c>
    </row>
    <row r="12" spans="1:6" x14ac:dyDescent="0.2">
      <c r="A12" s="6">
        <v>46034</v>
      </c>
      <c r="B12" s="9">
        <v>8884.723</v>
      </c>
      <c r="C12" s="9">
        <v>866.55100000000004</v>
      </c>
    </row>
    <row r="13" spans="1:6" x14ac:dyDescent="0.2">
      <c r="A13" s="6">
        <v>46035</v>
      </c>
      <c r="B13" s="9">
        <v>8948.3029999999999</v>
      </c>
      <c r="C13" s="9">
        <v>878.86800000000005</v>
      </c>
    </row>
    <row r="14" spans="1:6" x14ac:dyDescent="0.2">
      <c r="A14" s="6">
        <v>46036</v>
      </c>
      <c r="B14" s="9">
        <v>9032.5840000000007</v>
      </c>
      <c r="C14" s="9">
        <v>882.08600000000001</v>
      </c>
    </row>
    <row r="15" spans="1:6" x14ac:dyDescent="0.2">
      <c r="A15" s="6">
        <v>46037</v>
      </c>
      <c r="B15" s="9">
        <v>9075.4060000000009</v>
      </c>
      <c r="C15" s="9">
        <v>889.43399999999997</v>
      </c>
    </row>
    <row r="16" spans="1:6" x14ac:dyDescent="0.2">
      <c r="A16" s="6">
        <v>46041</v>
      </c>
      <c r="B16" s="9">
        <v>9133.8729999999996</v>
      </c>
      <c r="C16" s="9">
        <v>893.12</v>
      </c>
    </row>
    <row r="17" spans="1:3" x14ac:dyDescent="0.2">
      <c r="A17" s="6">
        <v>46042</v>
      </c>
      <c r="B17" s="9">
        <v>9134.7000000000007</v>
      </c>
      <c r="C17" s="9">
        <v>884.37800000000004</v>
      </c>
    </row>
    <row r="18" spans="1:3" x14ac:dyDescent="0.2">
      <c r="A18" s="6">
        <v>46043</v>
      </c>
      <c r="B18" s="9">
        <v>9010.33</v>
      </c>
      <c r="C18" s="9">
        <v>871.41899999999998</v>
      </c>
    </row>
    <row r="19" spans="1:3" x14ac:dyDescent="0.2">
      <c r="A19" s="6">
        <v>46044</v>
      </c>
      <c r="B19" s="9">
        <v>8992.1830000000009</v>
      </c>
      <c r="C19" s="9">
        <v>875.10900000000004</v>
      </c>
    </row>
    <row r="20" spans="1:3" x14ac:dyDescent="0.2">
      <c r="A20" s="6">
        <v>46045</v>
      </c>
      <c r="B20" s="9">
        <v>8951.01</v>
      </c>
      <c r="C20" s="9">
        <v>873.59100000000001</v>
      </c>
    </row>
    <row r="21" spans="1:3" x14ac:dyDescent="0.2">
      <c r="A21" s="6">
        <v>46048</v>
      </c>
      <c r="B21" s="9">
        <v>8975.3340000000007</v>
      </c>
      <c r="C21" s="9">
        <v>882.43299999999999</v>
      </c>
    </row>
    <row r="22" spans="1:3" x14ac:dyDescent="0.2">
      <c r="A22" s="6">
        <v>46049</v>
      </c>
      <c r="B22" s="9">
        <v>8980.23</v>
      </c>
      <c r="C22" s="9">
        <v>876.12300000000005</v>
      </c>
    </row>
    <row r="23" spans="1:3" x14ac:dyDescent="0.2">
      <c r="A23" s="6">
        <v>46050</v>
      </c>
      <c r="B23" s="9">
        <v>8320.5560000000005</v>
      </c>
      <c r="C23" s="9">
        <v>812.53899999999999</v>
      </c>
    </row>
    <row r="24" spans="1:3" x14ac:dyDescent="0.2">
      <c r="A24" s="6">
        <v>46051</v>
      </c>
      <c r="B24" s="9">
        <v>8232.2029999999995</v>
      </c>
      <c r="C24" s="9">
        <v>813.01599999999996</v>
      </c>
    </row>
    <row r="25" spans="1:3" x14ac:dyDescent="0.2">
      <c r="A25" s="6">
        <v>46052</v>
      </c>
      <c r="B25" s="9">
        <v>8329.6059999999998</v>
      </c>
      <c r="C25" s="9">
        <v>833.53599999999994</v>
      </c>
    </row>
    <row r="26" spans="1:3" x14ac:dyDescent="0.2">
      <c r="A26" s="6">
        <v>46055</v>
      </c>
      <c r="B26" s="9">
        <v>7922.7309999999998</v>
      </c>
      <c r="C26" s="9">
        <v>806.24300000000005</v>
      </c>
    </row>
    <row r="27" spans="1:3" x14ac:dyDescent="0.2">
      <c r="A27" s="6">
        <v>46056</v>
      </c>
      <c r="B27" s="9">
        <v>8122.5969999999998</v>
      </c>
      <c r="C27" s="9">
        <v>823.72699999999998</v>
      </c>
    </row>
    <row r="28" spans="1:3" x14ac:dyDescent="0.2">
      <c r="A28" s="6">
        <v>46057</v>
      </c>
      <c r="B28" s="9">
        <v>8146.7169999999996</v>
      </c>
      <c r="C28" s="9">
        <v>832.79499999999996</v>
      </c>
    </row>
    <row r="29" spans="1:3" x14ac:dyDescent="0.2">
      <c r="A29" s="6">
        <v>46058</v>
      </c>
      <c r="B29" s="9">
        <v>8103.8789999999999</v>
      </c>
      <c r="C29" s="9">
        <v>829.35900000000004</v>
      </c>
    </row>
    <row r="30" spans="1:3" x14ac:dyDescent="0.2">
      <c r="A30" s="6">
        <v>46059</v>
      </c>
      <c r="B30" s="9">
        <v>7935.26</v>
      </c>
      <c r="C30" s="9">
        <v>815.58199999999999</v>
      </c>
    </row>
    <row r="31" spans="1:3" x14ac:dyDescent="0.2">
      <c r="A31" s="6">
        <v>46062</v>
      </c>
      <c r="B31" s="9">
        <v>8031.8739999999998</v>
      </c>
      <c r="C31" s="9">
        <v>820.94200000000001</v>
      </c>
    </row>
    <row r="32" spans="1:3" x14ac:dyDescent="0.2">
      <c r="A32" s="6">
        <v>46063</v>
      </c>
      <c r="B32" s="9">
        <v>8131.7380000000003</v>
      </c>
      <c r="C32" s="9">
        <v>829.43499999999995</v>
      </c>
    </row>
    <row r="33" spans="1:3" x14ac:dyDescent="0.2">
      <c r="A33" s="6">
        <v>46064</v>
      </c>
      <c r="B33" s="9">
        <v>8290.9660000000003</v>
      </c>
      <c r="C33" s="9">
        <v>841.94200000000001</v>
      </c>
    </row>
    <row r="34" spans="1:3" x14ac:dyDescent="0.2">
      <c r="A34" s="6">
        <v>46065</v>
      </c>
      <c r="B34" s="9">
        <v>8265.3520000000008</v>
      </c>
      <c r="C34" s="9">
        <v>839.40099999999995</v>
      </c>
    </row>
    <row r="35" spans="1:3" x14ac:dyDescent="0.2">
      <c r="A35" s="6">
        <v>46066</v>
      </c>
      <c r="B35" s="9">
        <v>8212.2710000000006</v>
      </c>
      <c r="C35" s="9">
        <v>829.66899999999998</v>
      </c>
    </row>
    <row r="36" spans="1:3" x14ac:dyDescent="0.2">
      <c r="A36" s="6">
        <v>46071</v>
      </c>
      <c r="B36" s="9">
        <v>8310.2270000000008</v>
      </c>
      <c r="C36" s="9">
        <v>838.53300000000002</v>
      </c>
    </row>
    <row r="37" spans="1:3" x14ac:dyDescent="0.2">
      <c r="A37" s="6">
        <v>46072</v>
      </c>
      <c r="B37" s="9">
        <v>8274.0810000000001</v>
      </c>
      <c r="C37" s="9">
        <v>834.28399999999999</v>
      </c>
    </row>
    <row r="38" spans="1:3" x14ac:dyDescent="0.2">
      <c r="A38" s="6">
        <v>46073</v>
      </c>
      <c r="B38" s="9">
        <v>8271.7669999999998</v>
      </c>
      <c r="C38" s="9">
        <v>835.279</v>
      </c>
    </row>
    <row r="39" spans="1:3" x14ac:dyDescent="0.2">
      <c r="A39" s="6">
        <v>46076</v>
      </c>
      <c r="B39" s="9">
        <v>8396.0820000000003</v>
      </c>
      <c r="C39" s="9">
        <v>847.76</v>
      </c>
    </row>
    <row r="40" spans="1:3" x14ac:dyDescent="0.2">
      <c r="A40" s="6">
        <v>46077</v>
      </c>
      <c r="B40" s="9">
        <v>8280.8330000000005</v>
      </c>
      <c r="C40" s="9">
        <v>837.62900000000002</v>
      </c>
    </row>
    <row r="41" spans="1:3" x14ac:dyDescent="0.2">
      <c r="A41" s="6">
        <v>46078</v>
      </c>
      <c r="B41" s="9">
        <v>8322.2289999999994</v>
      </c>
      <c r="C41" s="9">
        <v>843.07100000000003</v>
      </c>
    </row>
    <row r="42" spans="1:3" x14ac:dyDescent="0.2">
      <c r="A42" s="6">
        <v>46079</v>
      </c>
      <c r="B42" s="9">
        <v>8235.2620000000006</v>
      </c>
      <c r="C42" s="9">
        <v>837.89400000000001</v>
      </c>
    </row>
    <row r="43" spans="1:3" x14ac:dyDescent="0.2">
      <c r="A43" s="6">
        <v>46080</v>
      </c>
      <c r="B43" s="9">
        <v>8235.4850000000006</v>
      </c>
      <c r="C43" s="9">
        <v>834.36099999999999</v>
      </c>
    </row>
    <row r="44" spans="1:3" x14ac:dyDescent="0.2">
      <c r="A44" s="6">
        <v>46083</v>
      </c>
      <c r="B44" s="9">
        <v>8016.8329999999996</v>
      </c>
      <c r="C44" s="9">
        <v>812.49300000000005</v>
      </c>
    </row>
    <row r="45" spans="1:3" x14ac:dyDescent="0.2">
      <c r="A45" s="6">
        <v>46084</v>
      </c>
      <c r="B45" s="9">
        <v>7939.7669999999998</v>
      </c>
      <c r="C45" s="9">
        <v>805.596</v>
      </c>
    </row>
    <row r="46" spans="1:3" x14ac:dyDescent="0.2">
      <c r="A46" s="6">
        <v>46085</v>
      </c>
      <c r="B46" s="9">
        <v>7577.0640000000003</v>
      </c>
      <c r="C46" s="9">
        <v>772.44899999999996</v>
      </c>
    </row>
    <row r="47" spans="1:3" x14ac:dyDescent="0.2">
      <c r="A47" s="6">
        <v>46086</v>
      </c>
      <c r="B47" s="9">
        <v>7710.5370000000003</v>
      </c>
      <c r="C47" s="9">
        <v>787.82</v>
      </c>
    </row>
    <row r="48" spans="1:3" x14ac:dyDescent="0.2">
      <c r="A48" s="6">
        <v>46087</v>
      </c>
      <c r="B48" s="9">
        <v>7585.6869999999999</v>
      </c>
      <c r="C48" s="9">
        <v>776.04700000000003</v>
      </c>
    </row>
    <row r="49" spans="1:3" x14ac:dyDescent="0.2">
      <c r="A49" s="6">
        <v>46090</v>
      </c>
      <c r="B49" s="9">
        <v>7337.3689999999997</v>
      </c>
      <c r="C49" s="9">
        <v>750.57500000000005</v>
      </c>
    </row>
    <row r="50" spans="1:3" x14ac:dyDescent="0.2">
      <c r="A50" s="6">
        <v>46091</v>
      </c>
      <c r="B50" s="9">
        <v>7440.9129999999996</v>
      </c>
      <c r="C50" s="9">
        <v>759.94399999999996</v>
      </c>
    </row>
    <row r="51" spans="1:3" x14ac:dyDescent="0.2">
      <c r="A51" s="6">
        <v>46092</v>
      </c>
      <c r="B51" s="9">
        <v>7389.3990000000003</v>
      </c>
      <c r="C51" s="9">
        <v>752.24900000000002</v>
      </c>
    </row>
    <row r="52" spans="1:3" x14ac:dyDescent="0.2">
      <c r="A52" s="6">
        <v>46093</v>
      </c>
      <c r="B52" s="9">
        <v>7362.1170000000002</v>
      </c>
      <c r="C52" s="9">
        <v>751.18899999999996</v>
      </c>
    </row>
    <row r="53" spans="1:3" x14ac:dyDescent="0.2">
      <c r="A53" s="6">
        <v>46094</v>
      </c>
      <c r="B53" s="9">
        <v>7137.2120000000004</v>
      </c>
      <c r="C53" s="9">
        <v>728.32899999999995</v>
      </c>
    </row>
    <row r="54" spans="1:3" x14ac:dyDescent="0.2">
      <c r="A54" s="6">
        <v>46097</v>
      </c>
      <c r="B54" s="9">
        <v>7022.2879999999996</v>
      </c>
      <c r="C54" s="9">
        <v>713.721</v>
      </c>
    </row>
    <row r="55" spans="1:3" x14ac:dyDescent="0.2">
      <c r="A55" s="6">
        <v>46098</v>
      </c>
      <c r="B55" s="9">
        <v>7106.8389999999999</v>
      </c>
      <c r="C55" s="9">
        <v>722.41099999999994</v>
      </c>
    </row>
    <row r="56" spans="1:3" x14ac:dyDescent="0.2">
      <c r="A56" s="6">
        <v>46106</v>
      </c>
      <c r="B56" s="9">
        <v>7302.1210000000001</v>
      </c>
      <c r="C56" s="9">
        <v>746.45399999999995</v>
      </c>
    </row>
    <row r="57" spans="1:3" x14ac:dyDescent="0.2">
      <c r="A57" s="6">
        <v>46107</v>
      </c>
      <c r="B57" s="9">
        <v>7164.0910000000003</v>
      </c>
      <c r="C57" s="9">
        <v>731.72900000000004</v>
      </c>
    </row>
    <row r="58" spans="1:3" x14ac:dyDescent="0.2">
      <c r="A58" s="6">
        <v>46108</v>
      </c>
      <c r="B58" s="9">
        <v>7097.0569999999998</v>
      </c>
      <c r="C58" s="9">
        <v>718.96400000000006</v>
      </c>
    </row>
    <row r="59" spans="1:3" x14ac:dyDescent="0.2">
      <c r="A59" s="6">
        <v>46111</v>
      </c>
      <c r="B59" s="9">
        <v>7091.67</v>
      </c>
      <c r="C59" s="9">
        <v>717.48599999999999</v>
      </c>
    </row>
    <row r="60" spans="1:3" x14ac:dyDescent="0.2">
      <c r="A60" s="6">
        <v>46112</v>
      </c>
      <c r="B60" s="9">
        <v>7048.2219999999998</v>
      </c>
      <c r="C60" s="9">
        <v>715.80899999999997</v>
      </c>
    </row>
    <row r="61" spans="1:3" x14ac:dyDescent="0.2">
      <c r="A61" s="6">
        <v>46113</v>
      </c>
      <c r="B61" s="9">
        <v>7184.4380000000001</v>
      </c>
      <c r="C61" s="9">
        <v>726.78800000000001</v>
      </c>
    </row>
    <row r="62" spans="1:3" x14ac:dyDescent="0.2">
      <c r="A62" s="6">
        <v>46114</v>
      </c>
      <c r="B62" s="9">
        <v>7026.7820000000002</v>
      </c>
      <c r="C62" s="9">
        <v>714.58100000000002</v>
      </c>
    </row>
    <row r="63" spans="1:3" x14ac:dyDescent="0.2">
      <c r="A63" s="6">
        <v>46118</v>
      </c>
      <c r="B63" s="9">
        <v>6989.4260000000004</v>
      </c>
      <c r="C63" s="9">
        <v>707.76199999999994</v>
      </c>
    </row>
    <row r="64" spans="1:3" x14ac:dyDescent="0.2">
      <c r="A64" s="6">
        <v>46119</v>
      </c>
      <c r="B64" s="9">
        <v>6971.027</v>
      </c>
      <c r="C64" s="9">
        <v>701.66300000000001</v>
      </c>
    </row>
    <row r="65" spans="1:3" x14ac:dyDescent="0.2">
      <c r="A65" s="6">
        <v>46120</v>
      </c>
      <c r="B65" s="9">
        <v>7279.2089999999998</v>
      </c>
      <c r="C65" s="9">
        <v>733.62400000000002</v>
      </c>
    </row>
    <row r="66" spans="1:3" x14ac:dyDescent="0.2">
      <c r="A66" s="6">
        <v>46121</v>
      </c>
      <c r="B66" s="9">
        <v>7307.5889999999999</v>
      </c>
      <c r="C66" s="9">
        <v>733.90300000000002</v>
      </c>
    </row>
    <row r="67" spans="1:3" x14ac:dyDescent="0.2">
      <c r="A67" s="6">
        <v>46122</v>
      </c>
      <c r="B67" s="9">
        <v>7458.4960000000001</v>
      </c>
      <c r="C67" s="9">
        <v>746.47</v>
      </c>
    </row>
    <row r="68" spans="1:3" x14ac:dyDescent="0.2">
      <c r="A68" s="6">
        <v>46125</v>
      </c>
      <c r="B68" s="9">
        <v>7500.1869999999999</v>
      </c>
      <c r="C68" s="9">
        <v>746.35500000000002</v>
      </c>
    </row>
    <row r="69" spans="1:3" x14ac:dyDescent="0.2">
      <c r="A69" s="6">
        <v>46126</v>
      </c>
      <c r="B69" s="9">
        <v>7675.951</v>
      </c>
      <c r="C69" s="9">
        <v>764.31500000000005</v>
      </c>
    </row>
    <row r="70" spans="1:3" x14ac:dyDescent="0.2">
      <c r="A70" s="6">
        <v>46127</v>
      </c>
      <c r="B70" s="9">
        <v>7623.5860000000002</v>
      </c>
      <c r="C70" s="9">
        <v>759.94500000000005</v>
      </c>
    </row>
    <row r="71" spans="1:3" x14ac:dyDescent="0.2">
      <c r="A71" s="6">
        <v>46128</v>
      </c>
      <c r="B71" s="9">
        <v>7621.3819999999996</v>
      </c>
      <c r="C71" s="9">
        <v>757.32100000000003</v>
      </c>
    </row>
    <row r="72" spans="1:3" x14ac:dyDescent="0.2">
      <c r="A72" s="6">
        <v>46129</v>
      </c>
      <c r="B72" s="9">
        <v>7634.0039999999999</v>
      </c>
      <c r="C72" s="9">
        <v>758.86599999999999</v>
      </c>
    </row>
    <row r="73" spans="1:3" x14ac:dyDescent="0.2">
      <c r="A73" s="6">
        <v>46132</v>
      </c>
      <c r="B73" s="9">
        <v>7594.1109999999999</v>
      </c>
      <c r="C73" s="9">
        <v>755.84500000000003</v>
      </c>
    </row>
    <row r="74" spans="1:3" x14ac:dyDescent="0.2">
      <c r="A74" s="6">
        <v>46133</v>
      </c>
      <c r="B74" s="9">
        <v>7559.38</v>
      </c>
      <c r="C74" s="9">
        <v>743.67100000000005</v>
      </c>
    </row>
    <row r="75" spans="1:3" x14ac:dyDescent="0.2">
      <c r="A75" s="6">
        <v>46134</v>
      </c>
      <c r="B75" s="9">
        <v>7541.6120000000001</v>
      </c>
      <c r="C75" s="9">
        <v>735.97</v>
      </c>
    </row>
    <row r="76" spans="1:3" x14ac:dyDescent="0.2">
      <c r="A76" s="6">
        <v>46135</v>
      </c>
      <c r="B76" s="9">
        <v>7378.6059999999998</v>
      </c>
      <c r="C76" s="9">
        <v>715.87800000000004</v>
      </c>
    </row>
    <row r="77" spans="1:3" x14ac:dyDescent="0.2">
      <c r="A77" s="6">
        <v>46136</v>
      </c>
      <c r="B77" s="9">
        <v>7129.49</v>
      </c>
      <c r="C77" s="9">
        <v>690.76400000000001</v>
      </c>
    </row>
    <row r="78" spans="1:3" x14ac:dyDescent="0.2">
      <c r="A78" s="6">
        <v>46139</v>
      </c>
      <c r="B78" s="9">
        <v>7106.52</v>
      </c>
      <c r="C78" s="9">
        <v>686.73900000000003</v>
      </c>
    </row>
    <row r="79" spans="1:3" x14ac:dyDescent="0.2">
      <c r="A79" s="6">
        <v>46140</v>
      </c>
      <c r="B79" s="9">
        <v>7072.3919999999998</v>
      </c>
      <c r="C79" s="9">
        <v>682.32399999999996</v>
      </c>
    </row>
    <row r="80" spans="1:3" x14ac:dyDescent="0.2">
      <c r="A80" s="6">
        <v>46141</v>
      </c>
      <c r="B80" s="9">
        <v>7101.2259999999997</v>
      </c>
      <c r="C80" s="9">
        <v>684.14200000000005</v>
      </c>
    </row>
    <row r="81" spans="1:3" x14ac:dyDescent="0.2">
      <c r="A81" s="6">
        <v>46142</v>
      </c>
      <c r="B81" s="9">
        <v>6956.8040000000001</v>
      </c>
      <c r="C81" s="9">
        <v>669.34400000000005</v>
      </c>
    </row>
    <row r="82" spans="1:3" x14ac:dyDescent="0.2">
      <c r="A82" s="6">
        <v>46146</v>
      </c>
      <c r="B82" s="9">
        <v>6971.9530000000004</v>
      </c>
      <c r="C82" s="9">
        <v>674.55799999999999</v>
      </c>
    </row>
    <row r="83" spans="1:3" x14ac:dyDescent="0.2">
      <c r="A83" s="6">
        <v>46147</v>
      </c>
      <c r="B83" s="9">
        <v>7057.1059999999998</v>
      </c>
      <c r="C83" s="9">
        <v>681.58299999999997</v>
      </c>
    </row>
    <row r="84" spans="1:3" x14ac:dyDescent="0.2">
      <c r="A84" s="6">
        <v>46148</v>
      </c>
      <c r="B84" s="9">
        <v>7092.4669999999996</v>
      </c>
      <c r="C84" s="9">
        <v>682.75900000000001</v>
      </c>
    </row>
    <row r="85" spans="1:3" x14ac:dyDescent="0.2">
      <c r="A85" s="6">
        <v>46149</v>
      </c>
      <c r="B85" s="9">
        <v>7174.3209999999999</v>
      </c>
      <c r="C85" s="9">
        <v>693.78800000000001</v>
      </c>
    </row>
    <row r="86" spans="1:3" x14ac:dyDescent="0.2">
      <c r="A86" s="6">
        <v>46150</v>
      </c>
      <c r="B86" s="9">
        <v>6969.3959999999997</v>
      </c>
      <c r="C86" s="9">
        <v>677.17899999999997</v>
      </c>
    </row>
    <row r="87" spans="1:3" x14ac:dyDescent="0.2">
      <c r="A87" s="6">
        <v>46153</v>
      </c>
      <c r="B87" s="9">
        <v>6905.62</v>
      </c>
      <c r="C87" s="9">
        <v>668.63400000000001</v>
      </c>
    </row>
    <row r="88" spans="1:3" x14ac:dyDescent="0.2">
      <c r="A88" s="6">
        <v>46154</v>
      </c>
      <c r="B88" s="9">
        <v>6858.8990000000003</v>
      </c>
      <c r="C88" s="9">
        <v>669.84199999999998</v>
      </c>
    </row>
    <row r="89" spans="1:3" x14ac:dyDescent="0.2">
      <c r="A89" s="6">
        <v>46155</v>
      </c>
      <c r="B89" s="9">
        <v>6723.32</v>
      </c>
      <c r="C89" s="9">
        <v>657.88</v>
      </c>
    </row>
    <row r="90" spans="1:3" x14ac:dyDescent="0.2">
      <c r="A90" s="6">
        <v>46160</v>
      </c>
      <c r="B90" s="9">
        <v>6599.24</v>
      </c>
      <c r="C90" s="9">
        <v>651.08600000000001</v>
      </c>
    </row>
    <row r="91" spans="1:3" x14ac:dyDescent="0.2">
      <c r="A91" s="6">
        <v>46161</v>
      </c>
      <c r="B91" s="9">
        <v>6370.6790000000001</v>
      </c>
      <c r="C91" s="9">
        <v>634.82100000000003</v>
      </c>
    </row>
    <row r="92" spans="1:3" x14ac:dyDescent="0.2">
      <c r="A92" s="6">
        <v>46162</v>
      </c>
      <c r="B92" s="9">
        <v>6318.5</v>
      </c>
      <c r="C92" s="9">
        <v>630.67700000000002</v>
      </c>
    </row>
    <row r="93" spans="1:3" x14ac:dyDescent="0.2">
      <c r="A93" s="6">
        <v>46163</v>
      </c>
      <c r="B93" s="9">
        <v>6094.9409999999998</v>
      </c>
      <c r="C93" s="9">
        <v>616.399</v>
      </c>
    </row>
    <row r="94" spans="1:3" x14ac:dyDescent="0.2">
      <c r="A94" s="6">
        <v>46164</v>
      </c>
      <c r="B94" s="9">
        <v>6162.0450000000001</v>
      </c>
      <c r="C94" s="9">
        <v>620.44399999999996</v>
      </c>
    </row>
    <row r="95" spans="1:3" x14ac:dyDescent="0.2">
      <c r="A95" s="6">
        <v>46167</v>
      </c>
      <c r="B95" s="9">
        <v>6206.3490000000002</v>
      </c>
      <c r="C95" s="9">
        <v>631.21100000000001</v>
      </c>
    </row>
    <row r="96" spans="1:3" x14ac:dyDescent="0.2">
      <c r="A96" s="6">
        <v>46168</v>
      </c>
      <c r="B96" s="9">
        <v>6130.19</v>
      </c>
      <c r="C96" s="9">
        <v>620.39700000000005</v>
      </c>
    </row>
    <row r="97" spans="1:3" x14ac:dyDescent="0.2">
      <c r="A97" s="6">
        <v>46171</v>
      </c>
      <c r="B97" s="9">
        <v>6127.3810000000003</v>
      </c>
      <c r="C97" s="9">
        <v>611.16800000000001</v>
      </c>
    </row>
    <row r="98" spans="1:3" x14ac:dyDescent="0.2">
      <c r="A98" s="6">
        <v>46175</v>
      </c>
      <c r="B98" s="9">
        <v>6195.4269999999997</v>
      </c>
      <c r="C98" s="9">
        <v>619.27499999999998</v>
      </c>
    </row>
    <row r="99" spans="1:3" x14ac:dyDescent="0.2">
      <c r="A99" s="6">
        <v>46176</v>
      </c>
      <c r="B99" s="9">
        <v>5941.0659999999998</v>
      </c>
      <c r="C99" s="9">
        <v>588.99099999999999</v>
      </c>
    </row>
    <row r="100" spans="1:3" x14ac:dyDescent="0.2">
      <c r="A100" s="6">
        <v>46177</v>
      </c>
      <c r="B100" s="9">
        <v>5839.7849999999999</v>
      </c>
      <c r="C100" s="9">
        <v>580.91600000000005</v>
      </c>
    </row>
    <row r="101" spans="1:3" x14ac:dyDescent="0.2">
      <c r="A101" s="6">
        <v>46178</v>
      </c>
      <c r="B101" s="9">
        <v>5594.7650000000003</v>
      </c>
      <c r="C101" s="9">
        <v>557.74599999999998</v>
      </c>
    </row>
    <row r="102" spans="1:3" x14ac:dyDescent="0.2">
      <c r="A102" s="6">
        <v>46181</v>
      </c>
      <c r="B102" s="9">
        <v>5342.1369999999997</v>
      </c>
      <c r="C102" s="9">
        <v>527.07799999999997</v>
      </c>
    </row>
    <row r="103" spans="1:3" x14ac:dyDescent="0.2">
      <c r="A103" s="6">
        <v>46182</v>
      </c>
      <c r="B103" s="9">
        <v>5746.6480000000001</v>
      </c>
      <c r="C103" s="9">
        <v>569.322</v>
      </c>
    </row>
    <row r="104" spans="1:3" x14ac:dyDescent="0.2">
      <c r="A104" s="6">
        <v>46183</v>
      </c>
      <c r="B104" s="9">
        <v>5902.3760000000002</v>
      </c>
      <c r="C104" s="9">
        <v>589.47799999999995</v>
      </c>
    </row>
    <row r="105" spans="1:3" x14ac:dyDescent="0.2">
      <c r="A105" s="6">
        <v>46184</v>
      </c>
      <c r="B105" s="9">
        <v>5886.0320000000002</v>
      </c>
      <c r="C105" s="9">
        <v>586.84199999999998</v>
      </c>
    </row>
    <row r="106" spans="1:3" x14ac:dyDescent="0.2">
      <c r="A106" s="6">
        <v>46185</v>
      </c>
      <c r="B106" s="9">
        <v>6007.6559999999999</v>
      </c>
      <c r="C106" s="9">
        <v>597.44799999999998</v>
      </c>
    </row>
    <row r="107" spans="1:3" x14ac:dyDescent="0.2">
      <c r="A107" s="6">
        <v>46188</v>
      </c>
      <c r="B107" s="9">
        <v>6254.9660000000003</v>
      </c>
      <c r="C107" s="9">
        <v>624.68200000000002</v>
      </c>
    </row>
    <row r="108" spans="1:3" x14ac:dyDescent="0.2">
      <c r="A108" s="6">
        <v>46190</v>
      </c>
      <c r="B108" s="9">
        <v>6220.74</v>
      </c>
      <c r="C108" s="9">
        <v>625.23299999999995</v>
      </c>
    </row>
    <row r="109" spans="1:3" x14ac:dyDescent="0.2">
      <c r="A109" s="6">
        <v>46191</v>
      </c>
      <c r="B109" s="9">
        <v>6172.34</v>
      </c>
      <c r="C109" s="9">
        <v>616.92100000000005</v>
      </c>
    </row>
    <row r="110" spans="1:3" x14ac:dyDescent="0.2">
      <c r="A110" s="6">
        <v>46192</v>
      </c>
      <c r="B110" s="9">
        <v>6177.1390000000001</v>
      </c>
      <c r="C110" s="9">
        <v>609.40200000000004</v>
      </c>
    </row>
    <row r="111" spans="1:3" x14ac:dyDescent="0.2">
      <c r="A111" s="6">
        <v>46195</v>
      </c>
      <c r="B111" s="9">
        <v>6116.69</v>
      </c>
      <c r="C111" s="9">
        <v>599.19799999999998</v>
      </c>
    </row>
    <row r="112" spans="1:3" x14ac:dyDescent="0.2">
      <c r="A112" s="6">
        <v>46196</v>
      </c>
      <c r="B112" s="9">
        <v>6101.3329999999996</v>
      </c>
      <c r="C112" s="9">
        <v>598.42899999999997</v>
      </c>
    </row>
    <row r="113" spans="1:3" x14ac:dyDescent="0.2">
      <c r="A113" s="6">
        <v>46197</v>
      </c>
      <c r="B113" s="9">
        <v>5883.8810000000003</v>
      </c>
      <c r="C113" s="9">
        <v>578.16899999999998</v>
      </c>
    </row>
    <row r="114" spans="1:3" x14ac:dyDescent="0.2">
      <c r="A114" s="6">
        <v>46198</v>
      </c>
      <c r="B114" s="9">
        <v>5999.0379999999996</v>
      </c>
      <c r="C114" s="9">
        <v>587.74599999999998</v>
      </c>
    </row>
    <row r="115" spans="1:3" x14ac:dyDescent="0.2">
      <c r="A115" s="6">
        <v>46199</v>
      </c>
      <c r="B115" s="9">
        <v>5896.134</v>
      </c>
      <c r="C115" s="9">
        <v>583.72199999999998</v>
      </c>
    </row>
    <row r="116" spans="1:3" x14ac:dyDescent="0.2">
      <c r="A116" s="6">
        <v>46202</v>
      </c>
      <c r="B116" s="9">
        <v>5820.79</v>
      </c>
      <c r="C116" s="9">
        <v>573.00699999999995</v>
      </c>
    </row>
    <row r="117" spans="1:3" x14ac:dyDescent="0.2">
      <c r="A117" s="6">
        <v>46203</v>
      </c>
      <c r="B117" s="9">
        <v>5643.1940000000004</v>
      </c>
      <c r="C117" s="9">
        <v>553.10500000000002</v>
      </c>
    </row>
    <row r="118" spans="1:3" x14ac:dyDescent="0.2">
      <c r="A118" s="6">
        <v>46204</v>
      </c>
      <c r="B118" s="9">
        <v>5695.116</v>
      </c>
      <c r="C118" s="9">
        <v>556.74599999999998</v>
      </c>
    </row>
    <row r="119" spans="1:3" x14ac:dyDescent="0.2">
      <c r="A119" s="6">
        <v>46205</v>
      </c>
      <c r="B119" s="9">
        <v>5744.5559999999996</v>
      </c>
      <c r="C119" s="9">
        <v>565.49300000000005</v>
      </c>
    </row>
    <row r="120" spans="1:3" x14ac:dyDescent="0.2">
      <c r="A120" s="6">
        <v>46206</v>
      </c>
      <c r="B120" s="9">
        <v>5875.78</v>
      </c>
      <c r="C120" s="9">
        <v>581.78300000000002</v>
      </c>
    </row>
    <row r="121" spans="1:3" x14ac:dyDescent="0.2">
      <c r="A121" s="6">
        <v>46209</v>
      </c>
      <c r="B121" s="9">
        <v>5916.07</v>
      </c>
      <c r="C121" s="9">
        <v>584.48299999999995</v>
      </c>
    </row>
    <row r="122" spans="1:3" x14ac:dyDescent="0.2">
      <c r="A122" s="6">
        <v>46210</v>
      </c>
      <c r="B122" s="9">
        <v>5986.4970000000003</v>
      </c>
      <c r="C122" s="9">
        <v>594.91800000000001</v>
      </c>
    </row>
    <row r="123" spans="1:3" x14ac:dyDescent="0.2">
      <c r="A123" s="6">
        <v>46211</v>
      </c>
      <c r="B123" s="9">
        <v>5873.3720000000003</v>
      </c>
      <c r="C123" s="9">
        <v>582.88400000000001</v>
      </c>
    </row>
    <row r="124" spans="1:3" x14ac:dyDescent="0.2">
      <c r="A124" s="6">
        <v>46212</v>
      </c>
      <c r="B124" s="9">
        <v>5912.442</v>
      </c>
      <c r="C124" s="9">
        <v>587.37</v>
      </c>
    </row>
    <row r="125" spans="1:3" x14ac:dyDescent="0.2">
      <c r="A125" s="6">
        <v>46213</v>
      </c>
      <c r="B125" s="9">
        <v>5924.36</v>
      </c>
      <c r="C125" s="9">
        <v>589.25400000000002</v>
      </c>
    </row>
    <row r="126" spans="1:3" x14ac:dyDescent="0.2">
      <c r="A126" s="6">
        <v>46216</v>
      </c>
      <c r="B126" s="9">
        <v>6037.8419999999996</v>
      </c>
      <c r="C126" s="9">
        <v>602.37300000000005</v>
      </c>
    </row>
    <row r="127" spans="1:3" x14ac:dyDescent="0.2">
      <c r="A127" s="6">
        <v>46217</v>
      </c>
      <c r="B127" s="9">
        <v>6039.5209999999997</v>
      </c>
      <c r="C127" s="9">
        <v>598.88699999999994</v>
      </c>
    </row>
    <row r="128" spans="1:3" x14ac:dyDescent="0.2">
      <c r="A128" s="6">
        <v>46218</v>
      </c>
      <c r="B128" s="9">
        <v>6041.9719999999998</v>
      </c>
      <c r="C128" s="9">
        <v>599.90300000000002</v>
      </c>
    </row>
    <row r="129" spans="1:3" x14ac:dyDescent="0.2">
      <c r="A129" s="6">
        <v>46219</v>
      </c>
      <c r="B129" s="9">
        <v>6108.2089999999998</v>
      </c>
      <c r="C129" s="9">
        <v>608.577</v>
      </c>
    </row>
    <row r="130" spans="1:3" x14ac:dyDescent="0.2">
      <c r="A130" s="6">
        <v>46220</v>
      </c>
      <c r="B130" s="9">
        <v>6175.5349999999999</v>
      </c>
      <c r="C130" s="9">
        <v>621.91</v>
      </c>
    </row>
    <row r="131" spans="1:3" x14ac:dyDescent="0.2">
      <c r="A131" s="6">
        <v>46223</v>
      </c>
      <c r="B131" s="9">
        <v>6231.78</v>
      </c>
      <c r="C131" s="9">
        <v>627.75</v>
      </c>
    </row>
    <row r="132" spans="1:3" x14ac:dyDescent="0.2">
      <c r="A132" s="6">
        <v>46224</v>
      </c>
      <c r="B132" s="9">
        <v>6340.02</v>
      </c>
      <c r="C132" s="9">
        <v>636.63699999999994</v>
      </c>
    </row>
    <row r="133" spans="1:3" x14ac:dyDescent="0.2">
      <c r="A133" s="6">
        <v>46225</v>
      </c>
      <c r="B133" s="9">
        <v>6334.4759999999997</v>
      </c>
      <c r="C133" s="9">
        <v>632.54600000000005</v>
      </c>
    </row>
    <row r="134" spans="1:3" x14ac:dyDescent="0.2">
      <c r="A134" s="6">
        <v>46226</v>
      </c>
      <c r="B134" s="9">
        <v>6315.3109999999997</v>
      </c>
      <c r="C134" s="9">
        <v>627.11599999999999</v>
      </c>
    </row>
    <row r="135" spans="1:3" x14ac:dyDescent="0.2">
      <c r="A135" s="6">
        <v>46227</v>
      </c>
      <c r="B135" s="9">
        <v>6196.43</v>
      </c>
      <c r="C135" s="9">
        <v>614.78599999999994</v>
      </c>
    </row>
    <row r="136" spans="1:3" x14ac:dyDescent="0.2">
      <c r="A136" s="6">
        <v>46230</v>
      </c>
      <c r="B136" s="9">
        <v>6185.7830000000004</v>
      </c>
      <c r="C136" s="9">
        <v>612.55799999999999</v>
      </c>
    </row>
    <row r="137" spans="1:3" x14ac:dyDescent="0.2">
      <c r="A137" s="6">
        <v>46231</v>
      </c>
      <c r="B137" s="9">
        <v>6130.5879999999997</v>
      </c>
      <c r="C137" s="9">
        <v>608.029</v>
      </c>
    </row>
    <row r="138" spans="1:3" x14ac:dyDescent="0.2">
      <c r="A138" s="6">
        <v>46232</v>
      </c>
      <c r="B138" s="9">
        <v>6091.3860000000004</v>
      </c>
      <c r="C138" s="9">
        <v>606.51599999999996</v>
      </c>
    </row>
    <row r="139" spans="1:3" x14ac:dyDescent="0.2">
      <c r="A139" s="6">
        <v>46233</v>
      </c>
      <c r="B139" s="9">
        <v>6186.3630000000003</v>
      </c>
      <c r="C139" s="9">
        <v>618.85699999999997</v>
      </c>
    </row>
    <row r="140" spans="1:3" x14ac:dyDescent="0.2">
      <c r="A140" s="6">
        <v>46234</v>
      </c>
      <c r="B140" s="9">
        <v>6236.1260000000002</v>
      </c>
      <c r="C140" s="9">
        <v>621.24400000000003</v>
      </c>
    </row>
    <row r="141" spans="1:3" x14ac:dyDescent="0.2">
      <c r="A141" s="6">
        <v>46237</v>
      </c>
      <c r="B141" s="9">
        <v>6234.4970000000003</v>
      </c>
      <c r="C141" s="9">
        <v>623.93100000000004</v>
      </c>
    </row>
    <row r="142" spans="1:3" x14ac:dyDescent="0.2">
      <c r="A142" s="6">
        <v>46238</v>
      </c>
      <c r="B142" s="9">
        <v>6319.6130000000003</v>
      </c>
      <c r="C142" s="9">
        <v>635.20699999999999</v>
      </c>
    </row>
    <row r="143" spans="1:3" x14ac:dyDescent="0.2">
      <c r="A143" s="6">
        <v>46239</v>
      </c>
      <c r="B143" s="9">
        <v>6351.1390000000001</v>
      </c>
      <c r="C143" s="9">
        <v>633.98900000000003</v>
      </c>
    </row>
    <row r="144" spans="1:3" x14ac:dyDescent="0.2">
      <c r="A144" s="6">
        <v>46240</v>
      </c>
      <c r="B144" s="9">
        <v>6343.7110000000002</v>
      </c>
      <c r="C144" s="9">
        <v>630.85900000000004</v>
      </c>
    </row>
    <row r="145" spans="1:3" x14ac:dyDescent="0.2">
      <c r="A145" s="6">
        <v>46241</v>
      </c>
      <c r="B145" s="9">
        <v>6409.6540000000005</v>
      </c>
      <c r="C145" s="9">
        <v>640.29399999999998</v>
      </c>
    </row>
    <row r="146" spans="1:3" x14ac:dyDescent="0.2">
      <c r="A146" s="6">
        <v>46244</v>
      </c>
      <c r="B146" s="9">
        <v>6365.3739999999998</v>
      </c>
      <c r="C146" s="9">
        <v>634.125</v>
      </c>
    </row>
    <row r="147" spans="1:3" x14ac:dyDescent="0.2">
      <c r="A147" s="6">
        <v>46245</v>
      </c>
      <c r="B147" s="9">
        <v>6267.88</v>
      </c>
      <c r="C147" s="9">
        <v>625.79</v>
      </c>
    </row>
    <row r="148" spans="1:3" x14ac:dyDescent="0.2">
      <c r="A148" s="6">
        <v>46246</v>
      </c>
      <c r="B148" s="9">
        <v>6373.8490000000002</v>
      </c>
      <c r="C148" s="9">
        <v>633.84</v>
      </c>
    </row>
    <row r="149" spans="1:3" x14ac:dyDescent="0.2">
      <c r="A149" s="6">
        <v>46247</v>
      </c>
      <c r="B149" s="9">
        <v>6301.7650000000003</v>
      </c>
      <c r="C149" s="9">
        <v>627.16499999999996</v>
      </c>
    </row>
    <row r="150" spans="1:3" x14ac:dyDescent="0.2">
      <c r="A150" s="6">
        <v>46248</v>
      </c>
      <c r="B150" s="9">
        <v>6401.8879999999999</v>
      </c>
      <c r="C150" s="9">
        <v>632.28300000000002</v>
      </c>
    </row>
    <row r="151" spans="1:3" x14ac:dyDescent="0.2">
      <c r="A151" s="6">
        <v>46252</v>
      </c>
      <c r="B151" s="9">
        <v>6449.83</v>
      </c>
      <c r="C151" s="9">
        <v>631.03200000000004</v>
      </c>
    </row>
    <row r="152" spans="1:3" x14ac:dyDescent="0.2">
      <c r="A152" s="6">
        <v>46253</v>
      </c>
      <c r="B152" s="9">
        <v>6394.125</v>
      </c>
      <c r="C152" s="9">
        <v>627.46900000000005</v>
      </c>
    </row>
    <row r="153" spans="1:3" x14ac:dyDescent="0.2">
      <c r="A153" s="6">
        <v>46254</v>
      </c>
      <c r="B153" s="9">
        <v>6501.585</v>
      </c>
      <c r="C153" s="9">
        <v>638.73599999999999</v>
      </c>
    </row>
    <row r="154" spans="1:3" x14ac:dyDescent="0.2">
      <c r="A154" s="6">
        <v>46255</v>
      </c>
      <c r="B154" s="9">
        <v>6525.69</v>
      </c>
      <c r="C154" s="9">
        <v>644.59299999999996</v>
      </c>
    </row>
    <row r="155" spans="1:3" x14ac:dyDescent="0.2">
      <c r="A155" s="6">
        <v>46258</v>
      </c>
      <c r="B155" s="9">
        <v>6501.6670000000004</v>
      </c>
      <c r="C155" s="9">
        <v>641.94799999999998</v>
      </c>
    </row>
    <row r="156" spans="1:3" x14ac:dyDescent="0.2">
      <c r="A156" s="6">
        <v>46260</v>
      </c>
      <c r="B156" s="9">
        <v>6405.6850000000004</v>
      </c>
      <c r="C156" s="9">
        <v>632.54700000000003</v>
      </c>
    </row>
    <row r="157" spans="1:3" x14ac:dyDescent="0.2">
      <c r="A157" s="6">
        <v>46261</v>
      </c>
      <c r="B157" s="9">
        <v>6521.75</v>
      </c>
      <c r="C157" s="9">
        <v>641.06899999999996</v>
      </c>
    </row>
    <row r="158" spans="1:3" x14ac:dyDescent="0.2">
      <c r="A158" s="6">
        <v>46262</v>
      </c>
      <c r="B158" s="9">
        <v>6518.1210000000001</v>
      </c>
      <c r="C158" s="9">
        <v>641.822</v>
      </c>
    </row>
    <row r="159" spans="1:3" x14ac:dyDescent="0.2">
      <c r="A159" s="6">
        <v>46265</v>
      </c>
      <c r="B159" s="9">
        <v>6525.4780000000001</v>
      </c>
      <c r="C159" s="9">
        <v>643.82500000000005</v>
      </c>
    </row>
    <row r="160" spans="1:3" x14ac:dyDescent="0.2">
      <c r="A160" s="6">
        <v>46266</v>
      </c>
      <c r="B160" s="9">
        <v>6599.9430000000002</v>
      </c>
      <c r="C160" s="9">
        <v>654.41200000000003</v>
      </c>
    </row>
    <row r="161" spans="1:3" x14ac:dyDescent="0.2">
      <c r="A161" s="6">
        <v>46267</v>
      </c>
      <c r="B161" s="9">
        <v>6595.7759999999998</v>
      </c>
      <c r="C161" s="9">
        <v>651.87199999999996</v>
      </c>
    </row>
    <row r="162" spans="1:3" x14ac:dyDescent="0.2">
      <c r="A162" s="6">
        <v>46268</v>
      </c>
      <c r="B162" s="9">
        <v>6667.8909999999996</v>
      </c>
      <c r="C162" s="9">
        <v>662.77300000000002</v>
      </c>
    </row>
    <row r="163" spans="1:3" x14ac:dyDescent="0.2">
      <c r="A163" s="6">
        <v>46269</v>
      </c>
      <c r="B163" s="9">
        <v>6636.4750000000004</v>
      </c>
      <c r="C163" s="9">
        <v>657.58699999999999</v>
      </c>
    </row>
    <row r="164" spans="1:3" x14ac:dyDescent="0.2">
      <c r="A164" s="6">
        <v>46272</v>
      </c>
      <c r="B164" s="9">
        <v>6619.6729999999998</v>
      </c>
      <c r="C164" s="9">
        <v>656.41600000000005</v>
      </c>
    </row>
    <row r="165" spans="1:3" x14ac:dyDescent="0.2">
      <c r="A165" s="6">
        <v>46273</v>
      </c>
      <c r="B165" s="9">
        <v>6686.442</v>
      </c>
      <c r="C165" s="9">
        <v>665.58299999999997</v>
      </c>
    </row>
    <row r="166" spans="1:3" x14ac:dyDescent="0.2">
      <c r="A166" s="6">
        <v>46274</v>
      </c>
      <c r="B166" s="9">
        <v>6678.201</v>
      </c>
      <c r="C166" s="9">
        <v>664.25300000000004</v>
      </c>
    </row>
    <row r="167" spans="1:3" x14ac:dyDescent="0.2">
      <c r="A167" s="6">
        <v>46275</v>
      </c>
      <c r="B167" s="9">
        <v>6589.3379999999997</v>
      </c>
      <c r="C167" s="9">
        <v>655.98</v>
      </c>
    </row>
    <row r="168" spans="1:3" x14ac:dyDescent="0.2">
      <c r="A168" s="6">
        <v>46276</v>
      </c>
      <c r="B168" s="9">
        <v>6541.3770000000004</v>
      </c>
      <c r="C168" s="9">
        <v>649.71799999999996</v>
      </c>
    </row>
    <row r="169" spans="1:3" x14ac:dyDescent="0.2">
      <c r="A169" s="6">
        <v>46279</v>
      </c>
      <c r="B169" s="9">
        <v>6534.6930000000002</v>
      </c>
      <c r="C169" s="9">
        <v>659.03499999999997</v>
      </c>
    </row>
    <row r="170" spans="1:3" x14ac:dyDescent="0.2">
      <c r="A170" s="6">
        <v>46280</v>
      </c>
      <c r="B170" s="9">
        <v>6461.1530000000002</v>
      </c>
      <c r="C170" s="9">
        <v>650.75800000000004</v>
      </c>
    </row>
    <row r="171" spans="1:3" x14ac:dyDescent="0.2">
      <c r="A171" s="6">
        <v>46281</v>
      </c>
      <c r="B171" s="9">
        <v>6436.8530000000001</v>
      </c>
      <c r="C171" s="9">
        <v>646.96100000000001</v>
      </c>
    </row>
    <row r="172" spans="1:3" x14ac:dyDescent="0.2">
      <c r="A172" s="6">
        <v>46282</v>
      </c>
      <c r="B172" s="9">
        <v>6462.4309999999996</v>
      </c>
      <c r="C172" s="9">
        <v>648.38300000000004</v>
      </c>
    </row>
    <row r="173" spans="1:3" x14ac:dyDescent="0.2">
      <c r="A173" s="6">
        <v>46283</v>
      </c>
      <c r="B173" s="9">
        <v>6441.1589999999997</v>
      </c>
      <c r="C173" s="9">
        <v>640.24900000000002</v>
      </c>
    </row>
    <row r="174" spans="1:3" x14ac:dyDescent="0.2">
      <c r="A174" s="6">
        <v>46286</v>
      </c>
      <c r="B174" s="9">
        <v>6384.7259999999997</v>
      </c>
      <c r="C174" s="9">
        <v>634.29200000000003</v>
      </c>
    </row>
    <row r="175" spans="1:3" x14ac:dyDescent="0.2">
      <c r="A175" s="6">
        <v>46287</v>
      </c>
      <c r="B175" s="9">
        <v>6277.0439999999999</v>
      </c>
      <c r="C175" s="9">
        <v>625.61400000000003</v>
      </c>
    </row>
    <row r="176" spans="1:3" x14ac:dyDescent="0.2">
      <c r="A176" s="6">
        <v>46288</v>
      </c>
      <c r="B176" s="9">
        <v>6374.9120000000003</v>
      </c>
      <c r="C176" s="9">
        <v>633.18100000000004</v>
      </c>
    </row>
    <row r="177" spans="1:3" x14ac:dyDescent="0.2">
      <c r="A177" s="6">
        <v>46289</v>
      </c>
      <c r="B177" s="9">
        <v>6298.607</v>
      </c>
      <c r="C177" s="9">
        <v>623.25900000000001</v>
      </c>
    </row>
    <row r="178" spans="1:3" x14ac:dyDescent="0.2">
      <c r="A178" s="6">
        <v>46290</v>
      </c>
      <c r="B178" s="9">
        <v>6241.8919999999998</v>
      </c>
      <c r="C178" s="9">
        <v>621.10799999999995</v>
      </c>
    </row>
    <row r="179" spans="1:3" x14ac:dyDescent="0.2">
      <c r="A179" s="6">
        <v>46293</v>
      </c>
      <c r="B179" s="9">
        <v>6147.8590000000004</v>
      </c>
      <c r="C179" s="9">
        <v>611.80799999999999</v>
      </c>
    </row>
    <row r="180" spans="1:3" x14ac:dyDescent="0.2">
      <c r="A180" s="6">
        <v>46294</v>
      </c>
      <c r="B180" s="9">
        <v>6121.7</v>
      </c>
      <c r="C180" s="9">
        <v>608.16099999999994</v>
      </c>
    </row>
    <row r="181" spans="1:3" x14ac:dyDescent="0.2">
      <c r="A181" s="6">
        <v>46295</v>
      </c>
      <c r="B181" s="9">
        <v>6071.1379999999999</v>
      </c>
      <c r="C181" s="9">
        <v>601.17999999999995</v>
      </c>
    </row>
    <row r="182" spans="1:3" x14ac:dyDescent="0.2">
      <c r="A182" s="6">
        <v>46296</v>
      </c>
      <c r="B182" s="9">
        <v>6009.5020000000004</v>
      </c>
      <c r="C182" s="9">
        <v>592.38</v>
      </c>
    </row>
    <row r="183" spans="1:3" x14ac:dyDescent="0.2">
      <c r="A183" s="6">
        <v>46297</v>
      </c>
      <c r="B183" s="9">
        <v>6036.8879999999999</v>
      </c>
      <c r="C183" s="9">
        <v>595.45699999999999</v>
      </c>
    </row>
    <row r="184" spans="1:3" x14ac:dyDescent="0.2">
      <c r="A184" s="6">
        <v>46300</v>
      </c>
      <c r="B184" s="9">
        <v>6118.86</v>
      </c>
      <c r="C184" s="9">
        <v>603.23400000000004</v>
      </c>
    </row>
    <row r="185" spans="1:3" x14ac:dyDescent="0.2">
      <c r="A185" s="6">
        <v>46301</v>
      </c>
      <c r="B185" s="9">
        <v>6192.9269999999997</v>
      </c>
      <c r="C185" s="9">
        <v>608.16300000000001</v>
      </c>
    </row>
    <row r="186" spans="1:3" x14ac:dyDescent="0.2">
      <c r="A186" s="6">
        <v>46302</v>
      </c>
      <c r="B186" s="9">
        <v>6146.7240000000002</v>
      </c>
      <c r="C186" s="9">
        <v>605.721</v>
      </c>
    </row>
    <row r="187" spans="1:3" x14ac:dyDescent="0.2">
      <c r="A187" s="6">
        <v>46303</v>
      </c>
      <c r="B187" s="9">
        <v>6031.2839999999997</v>
      </c>
      <c r="C187" s="9">
        <v>593.63900000000001</v>
      </c>
    </row>
    <row r="188" spans="1:3" x14ac:dyDescent="0.2">
      <c r="A188" s="6">
        <v>46304</v>
      </c>
      <c r="B188" s="9">
        <v>6093.759</v>
      </c>
      <c r="C188" s="9">
        <v>601.66600000000005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27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4" width="14" customWidth="1"/>
    <col min="5" max="5" width="11" customWidth="1"/>
    <col min="6" max="7" width="13" customWidth="1"/>
    <col min="8" max="8" width="3" customWidth="1"/>
    <col min="9" max="9" width="20" customWidth="1"/>
    <col min="10" max="10" width="10" customWidth="1"/>
  </cols>
  <sheetData>
    <row r="1" spans="1:10" ht="16" x14ac:dyDescent="0.2">
      <c r="A1" s="1" t="s">
        <v>270</v>
      </c>
    </row>
    <row r="2" spans="1:10" x14ac:dyDescent="0.2">
      <c r="A2" s="4" t="s">
        <v>271</v>
      </c>
    </row>
    <row r="3" spans="1:10" x14ac:dyDescent="0.2">
      <c r="A3" s="4" t="s">
        <v>272</v>
      </c>
    </row>
    <row r="5" spans="1:10" ht="28" x14ac:dyDescent="0.2">
      <c r="A5" s="5" t="s">
        <v>22</v>
      </c>
      <c r="B5" s="5" t="s">
        <v>273</v>
      </c>
      <c r="C5" s="5" t="s">
        <v>274</v>
      </c>
      <c r="D5" s="5" t="s">
        <v>275</v>
      </c>
      <c r="E5" s="5" t="s">
        <v>276</v>
      </c>
      <c r="F5" s="5" t="s">
        <v>277</v>
      </c>
      <c r="G5" s="5" t="s">
        <v>278</v>
      </c>
    </row>
    <row r="6" spans="1:10" x14ac:dyDescent="0.2">
      <c r="A6" s="6">
        <v>42657</v>
      </c>
      <c r="B6" s="16">
        <v>18.7441</v>
      </c>
      <c r="C6" s="30">
        <v>2.0674999999999999</v>
      </c>
      <c r="E6" s="17">
        <f t="shared" ref="E6:E69" si="0">IF(ISNUMBER(B6),(B6-$J$6)/$J$7,"")</f>
        <v>1.2079305836245549</v>
      </c>
      <c r="F6" s="17">
        <f t="shared" ref="F6:F69" si="1">IF(ISNUMBER(C6),-(C6-$J$8)/$J$9,"")</f>
        <v>-1.0142163451087458</v>
      </c>
      <c r="G6" s="17" t="str">
        <f t="shared" ref="G6:G69" si="2">IF(ISNUMBER(D6),-(D6-$J$10)/$J$11,"")</f>
        <v/>
      </c>
      <c r="I6" s="2" t="s">
        <v>279</v>
      </c>
      <c r="J6" s="19">
        <f>AVERAGE(B6:B527)</f>
        <v>15.518737739463592</v>
      </c>
    </row>
    <row r="7" spans="1:10" x14ac:dyDescent="0.2">
      <c r="A7" s="6">
        <v>42664</v>
      </c>
      <c r="B7" s="16">
        <v>18.7165</v>
      </c>
      <c r="C7" s="30">
        <v>1.4975000000000001</v>
      </c>
      <c r="E7" s="17">
        <f t="shared" si="0"/>
        <v>1.1975941062260462</v>
      </c>
      <c r="F7" s="17">
        <f t="shared" si="1"/>
        <v>-0.36653714497212303</v>
      </c>
      <c r="G7" s="17" t="str">
        <f t="shared" si="2"/>
        <v/>
      </c>
      <c r="I7" s="2" t="s">
        <v>280</v>
      </c>
      <c r="J7" s="19">
        <f>STDEVP(B6:B527)</f>
        <v>2.6701553088077983</v>
      </c>
    </row>
    <row r="8" spans="1:10" x14ac:dyDescent="0.2">
      <c r="A8" s="6">
        <v>42671</v>
      </c>
      <c r="B8" s="16">
        <v>18.6006</v>
      </c>
      <c r="C8" s="30">
        <v>1.7549999999999999</v>
      </c>
      <c r="E8" s="17">
        <f t="shared" si="0"/>
        <v>1.1541883913533229</v>
      </c>
      <c r="F8" s="17">
        <f t="shared" si="1"/>
        <v>-0.65912906433208851</v>
      </c>
      <c r="G8" s="17" t="str">
        <f t="shared" si="2"/>
        <v/>
      </c>
      <c r="I8" s="2" t="s">
        <v>281</v>
      </c>
      <c r="J8" s="33">
        <f>AVERAGE(C6:C527)</f>
        <v>1.1749233716475089</v>
      </c>
    </row>
    <row r="9" spans="1:10" x14ac:dyDescent="0.2">
      <c r="A9" s="6">
        <v>42678</v>
      </c>
      <c r="B9" s="16">
        <v>18.301400000000001</v>
      </c>
      <c r="C9" s="30">
        <v>1.52</v>
      </c>
      <c r="E9" s="17">
        <f t="shared" si="0"/>
        <v>1.0421349841926775</v>
      </c>
      <c r="F9" s="17">
        <f t="shared" si="1"/>
        <v>-0.39210342918804236</v>
      </c>
      <c r="G9" s="17" t="str">
        <f t="shared" si="2"/>
        <v/>
      </c>
      <c r="I9" s="2" t="s">
        <v>282</v>
      </c>
      <c r="J9" s="33">
        <f>STDEVP(C6:C527)</f>
        <v>0.88006531610056782</v>
      </c>
    </row>
    <row r="10" spans="1:10" x14ac:dyDescent="0.2">
      <c r="A10" s="6">
        <v>42685</v>
      </c>
      <c r="B10" s="16">
        <v>17.465800000000002</v>
      </c>
      <c r="C10" s="30">
        <v>0.54500000000000004</v>
      </c>
      <c r="E10" s="17">
        <f t="shared" si="0"/>
        <v>0.72919438585231811</v>
      </c>
      <c r="F10" s="17">
        <f t="shared" si="1"/>
        <v>0.71576888683512851</v>
      </c>
      <c r="G10" s="17" t="str">
        <f t="shared" si="2"/>
        <v/>
      </c>
      <c r="I10" s="2" t="s">
        <v>283</v>
      </c>
      <c r="J10" s="28">
        <f>AVERAGE(D6:D527)</f>
        <v>87.149426923076973</v>
      </c>
    </row>
    <row r="11" spans="1:10" x14ac:dyDescent="0.2">
      <c r="A11" s="6">
        <v>42692</v>
      </c>
      <c r="B11" s="16">
        <v>17.3369</v>
      </c>
      <c r="C11" s="30">
        <v>2.2524999999999999</v>
      </c>
      <c r="E11" s="17">
        <f t="shared" si="0"/>
        <v>0.68092004032087616</v>
      </c>
      <c r="F11" s="17">
        <f t="shared" si="1"/>
        <v>-1.224428015328527</v>
      </c>
      <c r="G11" s="17" t="str">
        <f t="shared" si="2"/>
        <v/>
      </c>
      <c r="I11" s="2" t="s">
        <v>284</v>
      </c>
      <c r="J11" s="28">
        <f>STDEVP(D6:D527)</f>
        <v>17.667033851173048</v>
      </c>
    </row>
    <row r="12" spans="1:10" x14ac:dyDescent="0.2">
      <c r="A12" s="6">
        <v>42699</v>
      </c>
      <c r="B12" s="16">
        <v>16.892199999999999</v>
      </c>
      <c r="C12" s="30">
        <v>2.38</v>
      </c>
      <c r="E12" s="17">
        <f t="shared" si="0"/>
        <v>0.51437542078765675</v>
      </c>
      <c r="F12" s="17">
        <f t="shared" si="1"/>
        <v>-1.3693036258854032</v>
      </c>
      <c r="G12" s="17" t="str">
        <f t="shared" si="2"/>
        <v/>
      </c>
      <c r="I12" s="2" t="s">
        <v>285</v>
      </c>
      <c r="J12" s="19">
        <f>E527</f>
        <v>-2.3635096125855584</v>
      </c>
    </row>
    <row r="13" spans="1:10" x14ac:dyDescent="0.2">
      <c r="A13" s="6">
        <v>42706</v>
      </c>
      <c r="B13" s="16">
        <v>17.566400000000002</v>
      </c>
      <c r="C13" s="30">
        <v>1.9350000000000001</v>
      </c>
      <c r="E13" s="17">
        <f t="shared" si="0"/>
        <v>0.76687009694978114</v>
      </c>
      <c r="F13" s="17">
        <f t="shared" si="1"/>
        <v>-0.86365933805944328</v>
      </c>
      <c r="G13" s="17" t="str">
        <f t="shared" si="2"/>
        <v/>
      </c>
      <c r="I13" s="2" t="s">
        <v>286</v>
      </c>
      <c r="J13" s="19">
        <f>F527</f>
        <v>0.874847988623071</v>
      </c>
    </row>
    <row r="14" spans="1:10" x14ac:dyDescent="0.2">
      <c r="A14" s="6">
        <v>42713</v>
      </c>
      <c r="B14" s="16">
        <v>17.825500000000002</v>
      </c>
      <c r="C14" s="30">
        <v>2.1324999999999998</v>
      </c>
      <c r="E14" s="17">
        <f t="shared" si="0"/>
        <v>0.86390565107853567</v>
      </c>
      <c r="F14" s="17">
        <f t="shared" si="1"/>
        <v>-1.0880744995102904</v>
      </c>
      <c r="G14" s="17" t="str">
        <f t="shared" si="2"/>
        <v/>
      </c>
      <c r="I14" s="2" t="s">
        <v>287</v>
      </c>
      <c r="J14" s="19">
        <f>G527</f>
        <v>-0.28587555327447817</v>
      </c>
    </row>
    <row r="15" spans="1:10" x14ac:dyDescent="0.2">
      <c r="A15" s="6">
        <v>42720</v>
      </c>
      <c r="B15" s="16">
        <v>17.4529</v>
      </c>
      <c r="C15" s="30">
        <v>2.2774999999999999</v>
      </c>
      <c r="E15" s="17">
        <f t="shared" si="0"/>
        <v>0.72436320619866656</v>
      </c>
      <c r="F15" s="17">
        <f t="shared" si="1"/>
        <v>-1.2528349977906594</v>
      </c>
      <c r="G15" s="17" t="str">
        <f t="shared" si="2"/>
        <v/>
      </c>
      <c r="I15" s="2" t="s">
        <v>288</v>
      </c>
      <c r="J15" s="28">
        <f>INDEX(D6:D527,MATCH(DATE(2025,12,26),A6:A527,0))</f>
        <v>69.563000000000002</v>
      </c>
    </row>
    <row r="16" spans="1:10" x14ac:dyDescent="0.2">
      <c r="A16" s="6">
        <v>42727</v>
      </c>
      <c r="B16" s="16">
        <v>16.719200000000001</v>
      </c>
      <c r="C16" s="30">
        <v>2.4075000000000002</v>
      </c>
      <c r="E16" s="17">
        <f t="shared" si="0"/>
        <v>0.44958518202164227</v>
      </c>
      <c r="F16" s="17">
        <f t="shared" si="1"/>
        <v>-1.4005513065937494</v>
      </c>
      <c r="G16" s="17" t="str">
        <f t="shared" si="2"/>
        <v/>
      </c>
      <c r="I16" s="2" t="s">
        <v>289</v>
      </c>
      <c r="J16" s="28">
        <f>D527</f>
        <v>92.2</v>
      </c>
    </row>
    <row r="17" spans="1:7" x14ac:dyDescent="0.2">
      <c r="A17" s="6">
        <v>42734</v>
      </c>
      <c r="B17" s="16">
        <v>17.9208</v>
      </c>
      <c r="C17" s="30">
        <v>2.5274999999999999</v>
      </c>
      <c r="E17" s="17">
        <f t="shared" si="0"/>
        <v>0.89959645890744377</v>
      </c>
      <c r="F17" s="17">
        <f t="shared" si="1"/>
        <v>-1.5369048224119854</v>
      </c>
      <c r="G17" s="17" t="str">
        <f t="shared" si="2"/>
        <v/>
      </c>
    </row>
    <row r="18" spans="1:7" x14ac:dyDescent="0.2">
      <c r="A18" s="6">
        <v>42741</v>
      </c>
      <c r="B18" s="16">
        <v>18.2013</v>
      </c>
      <c r="C18" s="30">
        <v>2.15</v>
      </c>
      <c r="E18" s="17">
        <f t="shared" si="0"/>
        <v>1.0046465281205492</v>
      </c>
      <c r="F18" s="17">
        <f t="shared" si="1"/>
        <v>-1.1079593872337834</v>
      </c>
      <c r="G18" s="17" t="str">
        <f t="shared" si="2"/>
        <v/>
      </c>
    </row>
    <row r="19" spans="1:7" x14ac:dyDescent="0.2">
      <c r="A19" s="6">
        <v>42748</v>
      </c>
      <c r="B19" s="16">
        <v>17.872199999999999</v>
      </c>
      <c r="C19" s="30">
        <v>1.865</v>
      </c>
      <c r="E19" s="17">
        <f t="shared" si="0"/>
        <v>0.88139527044485211</v>
      </c>
      <c r="F19" s="17">
        <f t="shared" si="1"/>
        <v>-0.78411978716547204</v>
      </c>
      <c r="G19" s="17" t="str">
        <f t="shared" si="2"/>
        <v/>
      </c>
    </row>
    <row r="20" spans="1:7" x14ac:dyDescent="0.2">
      <c r="A20" s="6">
        <v>42755</v>
      </c>
      <c r="B20" s="16">
        <v>17.760999999999999</v>
      </c>
      <c r="C20" s="30">
        <v>1.8325</v>
      </c>
      <c r="E20" s="17">
        <f t="shared" si="0"/>
        <v>0.83974975281028053</v>
      </c>
      <c r="F20" s="17">
        <f t="shared" si="1"/>
        <v>-0.74719070996469961</v>
      </c>
      <c r="G20" s="17" t="str">
        <f t="shared" si="2"/>
        <v/>
      </c>
    </row>
    <row r="21" spans="1:7" x14ac:dyDescent="0.2">
      <c r="A21" s="6">
        <v>42762</v>
      </c>
      <c r="B21" s="16">
        <v>17.9712</v>
      </c>
      <c r="C21" s="30">
        <v>1.9125000000000001</v>
      </c>
      <c r="E21" s="17">
        <f t="shared" si="0"/>
        <v>0.91847176546124232</v>
      </c>
      <c r="F21" s="17">
        <f t="shared" si="1"/>
        <v>-0.83809305384352406</v>
      </c>
      <c r="G21" s="17" t="str">
        <f t="shared" si="2"/>
        <v/>
      </c>
    </row>
    <row r="22" spans="1:7" x14ac:dyDescent="0.2">
      <c r="A22" s="6">
        <v>42769</v>
      </c>
      <c r="B22" s="16">
        <v>18.107600000000001</v>
      </c>
      <c r="C22" s="30">
        <v>1.8625</v>
      </c>
      <c r="E22" s="17">
        <f t="shared" si="0"/>
        <v>0.96955493637271395</v>
      </c>
      <c r="F22" s="17">
        <f t="shared" si="1"/>
        <v>-0.78127908891925879</v>
      </c>
      <c r="G22" s="17" t="str">
        <f t="shared" si="2"/>
        <v/>
      </c>
    </row>
    <row r="23" spans="1:7" x14ac:dyDescent="0.2">
      <c r="A23" s="6">
        <v>42776</v>
      </c>
      <c r="B23" s="16">
        <v>18.132899999999999</v>
      </c>
      <c r="C23" s="30">
        <v>1.9125000000000001</v>
      </c>
      <c r="E23" s="17">
        <f t="shared" si="0"/>
        <v>0.97903004065467947</v>
      </c>
      <c r="F23" s="17">
        <f t="shared" si="1"/>
        <v>-0.83809305384352406</v>
      </c>
      <c r="G23" s="17" t="str">
        <f t="shared" si="2"/>
        <v/>
      </c>
    </row>
    <row r="24" spans="1:7" x14ac:dyDescent="0.2">
      <c r="A24" s="6">
        <v>42783</v>
      </c>
      <c r="B24" s="16">
        <v>18.186</v>
      </c>
      <c r="C24" s="30">
        <v>1.8725000000000001</v>
      </c>
      <c r="E24" s="17">
        <f t="shared" si="0"/>
        <v>0.99891652434528899</v>
      </c>
      <c r="F24" s="17">
        <f t="shared" si="1"/>
        <v>-0.79264188190411178</v>
      </c>
      <c r="G24" s="17" t="str">
        <f t="shared" si="2"/>
        <v/>
      </c>
    </row>
    <row r="25" spans="1:7" x14ac:dyDescent="0.2">
      <c r="A25" s="6">
        <v>42790</v>
      </c>
      <c r="B25" s="16">
        <v>18.408799999999999</v>
      </c>
      <c r="C25" s="30">
        <v>1.8925000000000001</v>
      </c>
      <c r="E25" s="17">
        <f t="shared" si="0"/>
        <v>1.0823573636347001</v>
      </c>
      <c r="F25" s="17">
        <f t="shared" si="1"/>
        <v>-0.81536746787381786</v>
      </c>
      <c r="G25" s="17" t="str">
        <f t="shared" si="2"/>
        <v/>
      </c>
    </row>
    <row r="26" spans="1:7" x14ac:dyDescent="0.2">
      <c r="A26" s="6">
        <v>42797</v>
      </c>
      <c r="B26" s="16">
        <v>18.431899999999999</v>
      </c>
      <c r="C26" s="30">
        <v>1.7775000000000001</v>
      </c>
      <c r="E26" s="17">
        <f t="shared" si="0"/>
        <v>1.091008545805191</v>
      </c>
      <c r="F26" s="17">
        <f t="shared" si="1"/>
        <v>-0.68469534854800806</v>
      </c>
      <c r="G26" s="17" t="str">
        <f t="shared" si="2"/>
        <v/>
      </c>
    </row>
    <row r="27" spans="1:7" x14ac:dyDescent="0.2">
      <c r="A27" s="6">
        <v>42804</v>
      </c>
      <c r="B27" s="16">
        <v>18.300699999999999</v>
      </c>
      <c r="C27" s="30">
        <v>1.63</v>
      </c>
      <c r="E27" s="17">
        <f t="shared" si="0"/>
        <v>1.0418728271572073</v>
      </c>
      <c r="F27" s="17">
        <f t="shared" si="1"/>
        <v>-0.51709415202142561</v>
      </c>
      <c r="G27" s="17" t="str">
        <f t="shared" si="2"/>
        <v/>
      </c>
    </row>
    <row r="28" spans="1:7" x14ac:dyDescent="0.2">
      <c r="A28" s="6">
        <v>42811</v>
      </c>
      <c r="B28" s="16">
        <v>16.256900000000002</v>
      </c>
      <c r="C28" s="30">
        <v>1.4125000000000001</v>
      </c>
      <c r="E28" s="17">
        <f t="shared" si="0"/>
        <v>0.27644918559662079</v>
      </c>
      <c r="F28" s="17">
        <f t="shared" si="1"/>
        <v>-0.2699534046008723</v>
      </c>
      <c r="G28" s="17" t="str">
        <f t="shared" si="2"/>
        <v/>
      </c>
    </row>
    <row r="29" spans="1:7" x14ac:dyDescent="0.2">
      <c r="A29" s="6">
        <v>42818</v>
      </c>
      <c r="B29" s="16">
        <v>16.374600000000001</v>
      </c>
      <c r="C29" s="30">
        <v>1.4424999999999999</v>
      </c>
      <c r="E29" s="17">
        <f t="shared" si="0"/>
        <v>0.32052901856055099</v>
      </c>
      <c r="F29" s="17">
        <f t="shared" si="1"/>
        <v>-0.30404178355543116</v>
      </c>
      <c r="G29" s="17" t="str">
        <f t="shared" si="2"/>
        <v/>
      </c>
    </row>
    <row r="30" spans="1:7" x14ac:dyDescent="0.2">
      <c r="A30" s="6">
        <v>42825</v>
      </c>
      <c r="B30" s="16">
        <v>16.296399999999998</v>
      </c>
      <c r="C30" s="30">
        <v>1.48</v>
      </c>
      <c r="E30" s="17">
        <f t="shared" si="0"/>
        <v>0.29124233259810856</v>
      </c>
      <c r="F30" s="17">
        <f t="shared" si="1"/>
        <v>-0.34665225724863014</v>
      </c>
      <c r="G30" s="17" t="str">
        <f t="shared" si="2"/>
        <v/>
      </c>
    </row>
    <row r="31" spans="1:7" x14ac:dyDescent="0.2">
      <c r="A31" s="6">
        <v>42832</v>
      </c>
      <c r="B31" s="16">
        <v>16.561699999999998</v>
      </c>
      <c r="C31" s="30">
        <v>1.5674999999999999</v>
      </c>
      <c r="E31" s="17">
        <f t="shared" si="0"/>
        <v>0.39059984904102069</v>
      </c>
      <c r="F31" s="17">
        <f t="shared" si="1"/>
        <v>-0.44607669586609411</v>
      </c>
      <c r="G31" s="17" t="str">
        <f t="shared" si="2"/>
        <v/>
      </c>
    </row>
    <row r="32" spans="1:7" x14ac:dyDescent="0.2">
      <c r="A32" s="6">
        <v>42839</v>
      </c>
      <c r="B32" s="16">
        <v>16.3704</v>
      </c>
      <c r="C32" s="30">
        <v>1.5549999999999999</v>
      </c>
      <c r="E32" s="17">
        <f t="shared" si="0"/>
        <v>0.31895607634773415</v>
      </c>
      <c r="F32" s="17">
        <f t="shared" si="1"/>
        <v>-0.43187320463502787</v>
      </c>
      <c r="G32" s="17" t="str">
        <f t="shared" si="2"/>
        <v/>
      </c>
    </row>
    <row r="33" spans="1:7" x14ac:dyDescent="0.2">
      <c r="A33" s="6">
        <v>42846</v>
      </c>
      <c r="B33" s="16">
        <v>16.6677</v>
      </c>
      <c r="C33" s="30">
        <v>1.48</v>
      </c>
      <c r="E33" s="17">
        <f t="shared" si="0"/>
        <v>0.43029791441210569</v>
      </c>
      <c r="F33" s="17">
        <f t="shared" si="1"/>
        <v>-0.34665225724863014</v>
      </c>
      <c r="G33" s="17" t="str">
        <f t="shared" si="2"/>
        <v/>
      </c>
    </row>
    <row r="34" spans="1:7" x14ac:dyDescent="0.2">
      <c r="A34" s="6">
        <v>42853</v>
      </c>
      <c r="B34" s="16">
        <v>16.687899999999999</v>
      </c>
      <c r="C34" s="30">
        <v>1.1100000000000001</v>
      </c>
      <c r="E34" s="17">
        <f t="shared" si="0"/>
        <v>0.43786301743565159</v>
      </c>
      <c r="F34" s="17">
        <f t="shared" si="1"/>
        <v>7.3771083190931966E-2</v>
      </c>
      <c r="G34" s="17" t="str">
        <f t="shared" si="2"/>
        <v/>
      </c>
    </row>
    <row r="35" spans="1:7" x14ac:dyDescent="0.2">
      <c r="A35" s="6">
        <v>42860</v>
      </c>
      <c r="B35" s="16">
        <v>16.819800000000001</v>
      </c>
      <c r="C35" s="30">
        <v>1.0175000000000001</v>
      </c>
      <c r="E35" s="17">
        <f t="shared" si="0"/>
        <v>0.48726089311910536</v>
      </c>
      <c r="F35" s="17">
        <f t="shared" si="1"/>
        <v>0.17887691830082256</v>
      </c>
      <c r="G35" s="17" t="str">
        <f t="shared" si="2"/>
        <v/>
      </c>
    </row>
    <row r="36" spans="1:7" x14ac:dyDescent="0.2">
      <c r="A36" s="6">
        <v>42867</v>
      </c>
      <c r="B36" s="16">
        <v>16.896699999999999</v>
      </c>
      <c r="C36" s="30">
        <v>1.0275000000000001</v>
      </c>
      <c r="E36" s="17">
        <f t="shared" si="0"/>
        <v>0.51606071601567449</v>
      </c>
      <c r="F36" s="17">
        <f t="shared" si="1"/>
        <v>0.16751412531596951</v>
      </c>
      <c r="G36" s="17" t="str">
        <f t="shared" si="2"/>
        <v/>
      </c>
    </row>
    <row r="37" spans="1:7" x14ac:dyDescent="0.2">
      <c r="A37" s="6">
        <v>42874</v>
      </c>
      <c r="B37" s="16">
        <v>17.261500000000002</v>
      </c>
      <c r="C37" s="30">
        <v>1.0024999999999999</v>
      </c>
      <c r="E37" s="17">
        <f t="shared" si="0"/>
        <v>0.65268198250031295</v>
      </c>
      <c r="F37" s="17">
        <f t="shared" si="1"/>
        <v>0.19592110777810226</v>
      </c>
      <c r="G37" s="17" t="str">
        <f t="shared" si="2"/>
        <v/>
      </c>
    </row>
    <row r="38" spans="1:7" x14ac:dyDescent="0.2">
      <c r="A38" s="6">
        <v>42881</v>
      </c>
      <c r="B38" s="16">
        <v>17.1158</v>
      </c>
      <c r="C38" s="30">
        <v>1.0024999999999999</v>
      </c>
      <c r="E38" s="17">
        <f t="shared" si="0"/>
        <v>0.59811586811760498</v>
      </c>
      <c r="F38" s="17">
        <f t="shared" si="1"/>
        <v>0.19592110777810226</v>
      </c>
      <c r="G38" s="17" t="str">
        <f t="shared" si="2"/>
        <v/>
      </c>
    </row>
    <row r="39" spans="1:7" x14ac:dyDescent="0.2">
      <c r="A39" s="6">
        <v>42888</v>
      </c>
      <c r="B39" s="16">
        <v>17.232600000000001</v>
      </c>
      <c r="C39" s="30">
        <v>1.03</v>
      </c>
      <c r="E39" s="17">
        <f t="shared" si="0"/>
        <v>0.64185864203593235</v>
      </c>
      <c r="F39" s="17">
        <f t="shared" si="1"/>
        <v>0.16467342706975632</v>
      </c>
      <c r="G39" s="17" t="str">
        <f t="shared" si="2"/>
        <v/>
      </c>
    </row>
    <row r="40" spans="1:7" x14ac:dyDescent="0.2">
      <c r="A40" s="6">
        <v>42895</v>
      </c>
      <c r="B40" s="16">
        <v>16.997499999999999</v>
      </c>
      <c r="C40" s="30">
        <v>1</v>
      </c>
      <c r="E40" s="17">
        <f t="shared" si="0"/>
        <v>0.55381132912327158</v>
      </c>
      <c r="F40" s="17">
        <f t="shared" si="1"/>
        <v>0.19876180602431545</v>
      </c>
      <c r="G40" s="17" t="str">
        <f t="shared" si="2"/>
        <v/>
      </c>
    </row>
    <row r="41" spans="1:7" x14ac:dyDescent="0.2">
      <c r="A41" s="6">
        <v>42902</v>
      </c>
      <c r="B41" s="16">
        <v>17.212900000000001</v>
      </c>
      <c r="C41" s="30">
        <v>0.97</v>
      </c>
      <c r="E41" s="17">
        <f t="shared" si="0"/>
        <v>0.63448079403772129</v>
      </c>
      <c r="F41" s="17">
        <f t="shared" si="1"/>
        <v>0.23285018497887458</v>
      </c>
      <c r="G41" s="17" t="str">
        <f t="shared" si="2"/>
        <v/>
      </c>
    </row>
    <row r="42" spans="1:7" x14ac:dyDescent="0.2">
      <c r="A42" s="6">
        <v>42909</v>
      </c>
      <c r="B42" s="16">
        <v>17.581399999999999</v>
      </c>
      <c r="C42" s="30">
        <v>0.99</v>
      </c>
      <c r="E42" s="17">
        <f t="shared" si="0"/>
        <v>0.77248774770983919</v>
      </c>
      <c r="F42" s="17">
        <f t="shared" si="1"/>
        <v>0.21012459900916849</v>
      </c>
      <c r="G42" s="17" t="str">
        <f t="shared" si="2"/>
        <v/>
      </c>
    </row>
    <row r="43" spans="1:7" x14ac:dyDescent="0.2">
      <c r="A43" s="6">
        <v>42916</v>
      </c>
      <c r="B43" s="16">
        <v>17.572299999999998</v>
      </c>
      <c r="C43" s="30">
        <v>0.95750000000000002</v>
      </c>
      <c r="E43" s="17">
        <f t="shared" si="0"/>
        <v>0.76907970624873667</v>
      </c>
      <c r="F43" s="17">
        <f t="shared" si="1"/>
        <v>0.24705367620994084</v>
      </c>
      <c r="G43" s="17" t="str">
        <f t="shared" si="2"/>
        <v/>
      </c>
    </row>
    <row r="44" spans="1:7" x14ac:dyDescent="0.2">
      <c r="A44" s="6">
        <v>42923</v>
      </c>
      <c r="B44" s="16">
        <v>17.583200000000001</v>
      </c>
      <c r="C44" s="30">
        <v>1.0325</v>
      </c>
      <c r="E44" s="17">
        <f t="shared" si="0"/>
        <v>0.7731618658010474</v>
      </c>
      <c r="F44" s="17">
        <f t="shared" si="1"/>
        <v>0.16183272882354313</v>
      </c>
      <c r="G44" s="17" t="str">
        <f t="shared" si="2"/>
        <v/>
      </c>
    </row>
    <row r="45" spans="1:7" x14ac:dyDescent="0.2">
      <c r="A45" s="6">
        <v>42930</v>
      </c>
      <c r="B45" s="16">
        <v>17.574400000000001</v>
      </c>
      <c r="C45" s="30">
        <v>1.5075000000000001</v>
      </c>
      <c r="E45" s="17">
        <f t="shared" si="0"/>
        <v>0.76986617735514573</v>
      </c>
      <c r="F45" s="17">
        <f t="shared" si="1"/>
        <v>-0.37789993795697607</v>
      </c>
      <c r="G45" s="17" t="str">
        <f t="shared" si="2"/>
        <v/>
      </c>
    </row>
    <row r="46" spans="1:7" x14ac:dyDescent="0.2">
      <c r="A46" s="6">
        <v>42937</v>
      </c>
      <c r="B46" s="16">
        <v>17.250499999999999</v>
      </c>
      <c r="C46" s="30">
        <v>1.4125000000000001</v>
      </c>
      <c r="E46" s="17">
        <f t="shared" si="0"/>
        <v>0.64856237194293531</v>
      </c>
      <c r="F46" s="17">
        <f t="shared" si="1"/>
        <v>-0.2699534046008723</v>
      </c>
      <c r="G46" s="17" t="str">
        <f t="shared" si="2"/>
        <v/>
      </c>
    </row>
    <row r="47" spans="1:7" x14ac:dyDescent="0.2">
      <c r="A47" s="6">
        <v>42944</v>
      </c>
      <c r="B47" s="16">
        <v>17.450399999999998</v>
      </c>
      <c r="C47" s="30">
        <v>1.23</v>
      </c>
      <c r="E47" s="17">
        <f t="shared" si="0"/>
        <v>0.72342693107198952</v>
      </c>
      <c r="F47" s="17">
        <f t="shared" si="1"/>
        <v>-6.2582432627304299E-2</v>
      </c>
      <c r="G47" s="17" t="str">
        <f t="shared" si="2"/>
        <v/>
      </c>
    </row>
    <row r="48" spans="1:7" x14ac:dyDescent="0.2">
      <c r="A48" s="6">
        <v>42951</v>
      </c>
      <c r="B48" s="16">
        <v>17.312200000000001</v>
      </c>
      <c r="C48" s="30">
        <v>1.3274999999999999</v>
      </c>
      <c r="E48" s="17">
        <f t="shared" si="0"/>
        <v>0.67166964206931246</v>
      </c>
      <c r="F48" s="17">
        <f t="shared" si="1"/>
        <v>-0.1733696642296213</v>
      </c>
      <c r="G48" s="17" t="str">
        <f t="shared" si="2"/>
        <v/>
      </c>
    </row>
    <row r="49" spans="1:7" x14ac:dyDescent="0.2">
      <c r="A49" s="6">
        <v>42958</v>
      </c>
      <c r="B49" s="16">
        <v>17.2729</v>
      </c>
      <c r="C49" s="30">
        <v>1.4575</v>
      </c>
      <c r="E49" s="17">
        <f t="shared" si="0"/>
        <v>0.65695139707795724</v>
      </c>
      <c r="F49" s="17">
        <f t="shared" si="1"/>
        <v>-0.32108597303271086</v>
      </c>
      <c r="G49" s="17" t="str">
        <f t="shared" si="2"/>
        <v/>
      </c>
    </row>
    <row r="50" spans="1:7" x14ac:dyDescent="0.2">
      <c r="A50" s="6">
        <v>42965</v>
      </c>
      <c r="B50" s="16">
        <v>17.618400000000001</v>
      </c>
      <c r="C50" s="30">
        <v>1.6</v>
      </c>
      <c r="E50" s="17">
        <f t="shared" si="0"/>
        <v>0.78634461958465263</v>
      </c>
      <c r="F50" s="17">
        <f t="shared" si="1"/>
        <v>-0.48300577306686671</v>
      </c>
      <c r="G50" s="17" t="str">
        <f t="shared" si="2"/>
        <v/>
      </c>
    </row>
    <row r="51" spans="1:7" x14ac:dyDescent="0.2">
      <c r="A51" s="6">
        <v>42972</v>
      </c>
      <c r="B51" s="16">
        <v>17.718299999999999</v>
      </c>
      <c r="C51" s="30">
        <v>1.46</v>
      </c>
      <c r="E51" s="17">
        <f t="shared" si="0"/>
        <v>0.82375817364664561</v>
      </c>
      <c r="F51" s="17">
        <f t="shared" si="1"/>
        <v>-0.32392667127892405</v>
      </c>
      <c r="G51" s="17" t="str">
        <f t="shared" si="2"/>
        <v/>
      </c>
    </row>
    <row r="52" spans="1:7" x14ac:dyDescent="0.2">
      <c r="A52" s="6">
        <v>42979</v>
      </c>
      <c r="B52" s="16">
        <v>17.4969</v>
      </c>
      <c r="C52" s="30">
        <v>1.4175</v>
      </c>
      <c r="E52" s="17">
        <f t="shared" si="0"/>
        <v>0.74084164842817346</v>
      </c>
      <c r="F52" s="17">
        <f t="shared" si="1"/>
        <v>-0.27563480109329869</v>
      </c>
      <c r="G52" s="17" t="str">
        <f t="shared" si="2"/>
        <v/>
      </c>
    </row>
    <row r="53" spans="1:7" x14ac:dyDescent="0.2">
      <c r="A53" s="6">
        <v>42986</v>
      </c>
      <c r="B53" s="16">
        <v>17.530999999999999</v>
      </c>
      <c r="C53" s="30">
        <v>1.3774999999999999</v>
      </c>
      <c r="E53" s="17">
        <f t="shared" si="0"/>
        <v>0.75361244115604065</v>
      </c>
      <c r="F53" s="17">
        <f t="shared" si="1"/>
        <v>-0.23018362915388652</v>
      </c>
      <c r="G53" s="17" t="str">
        <f t="shared" si="2"/>
        <v/>
      </c>
    </row>
    <row r="54" spans="1:7" x14ac:dyDescent="0.2">
      <c r="A54" s="6">
        <v>42993</v>
      </c>
      <c r="B54" s="16">
        <v>17.5352</v>
      </c>
      <c r="C54" s="30">
        <v>0.79249999999999998</v>
      </c>
      <c r="E54" s="17">
        <f t="shared" si="0"/>
        <v>0.75518538336885754</v>
      </c>
      <c r="F54" s="17">
        <f t="shared" si="1"/>
        <v>0.43453976046001591</v>
      </c>
      <c r="G54" s="17" t="str">
        <f t="shared" si="2"/>
        <v/>
      </c>
    </row>
    <row r="55" spans="1:7" x14ac:dyDescent="0.2">
      <c r="A55" s="6">
        <v>43000</v>
      </c>
      <c r="B55" s="16">
        <v>17.693100000000001</v>
      </c>
      <c r="C55" s="30">
        <v>0.85750000000000004</v>
      </c>
      <c r="E55" s="17">
        <f t="shared" si="0"/>
        <v>0.814320520369747</v>
      </c>
      <c r="F55" s="17">
        <f t="shared" si="1"/>
        <v>0.36068160605847116</v>
      </c>
      <c r="G55" s="17" t="str">
        <f t="shared" si="2"/>
        <v/>
      </c>
    </row>
    <row r="56" spans="1:7" x14ac:dyDescent="0.2">
      <c r="A56" s="6">
        <v>43007</v>
      </c>
      <c r="B56" s="16">
        <v>17.694800000000001</v>
      </c>
      <c r="C56" s="30">
        <v>1.5049999999999999</v>
      </c>
      <c r="E56" s="17">
        <f t="shared" si="0"/>
        <v>0.81495718745588686</v>
      </c>
      <c r="F56" s="17">
        <f t="shared" si="1"/>
        <v>-0.37505923971076266</v>
      </c>
      <c r="G56" s="17" t="str">
        <f t="shared" si="2"/>
        <v/>
      </c>
    </row>
    <row r="57" spans="1:7" x14ac:dyDescent="0.2">
      <c r="A57" s="6">
        <v>43014</v>
      </c>
      <c r="B57" s="16">
        <v>17.819199999999999</v>
      </c>
      <c r="C57" s="30">
        <v>1.4375</v>
      </c>
      <c r="E57" s="17">
        <f t="shared" si="0"/>
        <v>0.86154623775930961</v>
      </c>
      <c r="F57" s="17">
        <f t="shared" si="1"/>
        <v>-0.29836038706300477</v>
      </c>
      <c r="G57" s="17" t="str">
        <f t="shared" si="2"/>
        <v/>
      </c>
    </row>
    <row r="58" spans="1:7" x14ac:dyDescent="0.2">
      <c r="A58" s="6">
        <v>43021</v>
      </c>
      <c r="B58" s="16">
        <v>17.907900000000001</v>
      </c>
      <c r="C58" s="30">
        <v>1.4650000000000001</v>
      </c>
      <c r="E58" s="17">
        <f t="shared" si="0"/>
        <v>0.89476527925379357</v>
      </c>
      <c r="F58" s="17">
        <f t="shared" si="1"/>
        <v>-0.32960806777135071</v>
      </c>
      <c r="G58" s="17" t="str">
        <f t="shared" si="2"/>
        <v/>
      </c>
    </row>
    <row r="59" spans="1:7" x14ac:dyDescent="0.2">
      <c r="A59" s="6">
        <v>43028</v>
      </c>
      <c r="B59" s="16">
        <v>17.710100000000001</v>
      </c>
      <c r="C59" s="30">
        <v>1.4450000000000001</v>
      </c>
      <c r="E59" s="17">
        <f t="shared" si="0"/>
        <v>0.82068719123114708</v>
      </c>
      <c r="F59" s="17">
        <f t="shared" si="1"/>
        <v>-0.30688248180164462</v>
      </c>
      <c r="G59" s="17" t="str">
        <f t="shared" si="2"/>
        <v/>
      </c>
    </row>
    <row r="60" spans="1:7" x14ac:dyDescent="0.2">
      <c r="A60" s="6">
        <v>43035</v>
      </c>
      <c r="B60" s="16">
        <v>17.654900000000001</v>
      </c>
      <c r="C60" s="30">
        <v>1.47</v>
      </c>
      <c r="E60" s="17">
        <f t="shared" si="0"/>
        <v>0.80001423643412983</v>
      </c>
      <c r="F60" s="17">
        <f t="shared" si="1"/>
        <v>-0.33528946426377709</v>
      </c>
      <c r="G60" s="17" t="str">
        <f t="shared" si="2"/>
        <v/>
      </c>
    </row>
    <row r="61" spans="1:7" x14ac:dyDescent="0.2">
      <c r="A61" s="6">
        <v>43042</v>
      </c>
      <c r="B61" s="16">
        <v>18.111499999999999</v>
      </c>
      <c r="C61" s="30">
        <v>1.4524999999999999</v>
      </c>
      <c r="E61" s="17">
        <f t="shared" si="0"/>
        <v>0.97101552557032855</v>
      </c>
      <c r="F61" s="17">
        <f t="shared" si="1"/>
        <v>-0.3154045765402842</v>
      </c>
      <c r="G61" s="17" t="str">
        <f t="shared" si="2"/>
        <v/>
      </c>
    </row>
    <row r="62" spans="1:7" x14ac:dyDescent="0.2">
      <c r="A62" s="6">
        <v>43049</v>
      </c>
      <c r="B62" s="16">
        <v>18.017600000000002</v>
      </c>
      <c r="C62" s="30">
        <v>1.4524999999999999</v>
      </c>
      <c r="E62" s="17">
        <f t="shared" si="0"/>
        <v>0.93584903181235934</v>
      </c>
      <c r="F62" s="17">
        <f t="shared" si="1"/>
        <v>-0.3154045765402842</v>
      </c>
      <c r="G62" s="17" t="str">
        <f t="shared" si="2"/>
        <v/>
      </c>
    </row>
    <row r="63" spans="1:7" x14ac:dyDescent="0.2">
      <c r="A63" s="6">
        <v>43056</v>
      </c>
      <c r="B63" s="16">
        <v>18.172499999999999</v>
      </c>
      <c r="C63" s="30">
        <v>1.4175</v>
      </c>
      <c r="E63" s="17">
        <f t="shared" si="0"/>
        <v>0.99386063866123553</v>
      </c>
      <c r="F63" s="17">
        <f t="shared" si="1"/>
        <v>-0.27563480109329869</v>
      </c>
      <c r="G63" s="17" t="str">
        <f t="shared" si="2"/>
        <v/>
      </c>
    </row>
    <row r="64" spans="1:7" x14ac:dyDescent="0.2">
      <c r="A64" s="6">
        <v>43063</v>
      </c>
      <c r="B64" s="16">
        <v>18.3415</v>
      </c>
      <c r="C64" s="30">
        <v>1.2350000000000001</v>
      </c>
      <c r="E64" s="17">
        <f t="shared" si="0"/>
        <v>1.0571528372245684</v>
      </c>
      <c r="F64" s="17">
        <f t="shared" si="1"/>
        <v>-6.8263829119730959E-2</v>
      </c>
      <c r="G64" s="17" t="str">
        <f t="shared" si="2"/>
        <v/>
      </c>
    </row>
    <row r="65" spans="1:7" x14ac:dyDescent="0.2">
      <c r="A65" s="6">
        <v>43070</v>
      </c>
      <c r="B65" s="16">
        <v>17.674700000000001</v>
      </c>
      <c r="C65" s="30">
        <v>1.175</v>
      </c>
      <c r="E65" s="17">
        <f t="shared" si="0"/>
        <v>0.80742953543740792</v>
      </c>
      <c r="F65" s="17">
        <f t="shared" si="1"/>
        <v>-8.7071210612688565E-5</v>
      </c>
      <c r="G65" s="17" t="str">
        <f t="shared" si="2"/>
        <v/>
      </c>
    </row>
    <row r="66" spans="1:7" x14ac:dyDescent="0.2">
      <c r="A66" s="6">
        <v>43077</v>
      </c>
      <c r="B66" s="16">
        <v>18.132000000000001</v>
      </c>
      <c r="C66" s="30">
        <v>1.1299999999999999</v>
      </c>
      <c r="E66" s="17">
        <f t="shared" si="0"/>
        <v>0.9786929816090767</v>
      </c>
      <c r="F66" s="17">
        <f t="shared" si="1"/>
        <v>5.1045497221226137E-2</v>
      </c>
      <c r="G66" s="17" t="str">
        <f t="shared" si="2"/>
        <v/>
      </c>
    </row>
    <row r="67" spans="1:7" x14ac:dyDescent="0.2">
      <c r="A67" s="6">
        <v>43084</v>
      </c>
      <c r="B67" s="16">
        <v>18.413499999999999</v>
      </c>
      <c r="C67" s="30">
        <v>1.0974999999999999</v>
      </c>
      <c r="E67" s="17">
        <f t="shared" si="0"/>
        <v>1.0841175608728519</v>
      </c>
      <c r="F67" s="17">
        <f t="shared" si="1"/>
        <v>8.7974574421998464E-2</v>
      </c>
      <c r="G67" s="17" t="str">
        <f t="shared" si="2"/>
        <v/>
      </c>
    </row>
    <row r="68" spans="1:7" x14ac:dyDescent="0.2">
      <c r="A68" s="6">
        <v>43091</v>
      </c>
      <c r="B68" s="16">
        <v>18.760000000000002</v>
      </c>
      <c r="C68" s="30">
        <v>0.97499999999999998</v>
      </c>
      <c r="E68" s="17">
        <f t="shared" si="0"/>
        <v>1.2138852934302182</v>
      </c>
      <c r="F68" s="17">
        <f t="shared" si="1"/>
        <v>0.22716878848644806</v>
      </c>
      <c r="G68" s="17" t="str">
        <f t="shared" si="2"/>
        <v/>
      </c>
    </row>
    <row r="69" spans="1:7" x14ac:dyDescent="0.2">
      <c r="A69" s="6">
        <v>43098</v>
      </c>
      <c r="B69" s="16">
        <v>19.238099999999999</v>
      </c>
      <c r="C69" s="30">
        <v>1.0225</v>
      </c>
      <c r="E69" s="17">
        <f t="shared" si="0"/>
        <v>1.3929385486558348</v>
      </c>
      <c r="F69" s="17">
        <f t="shared" si="1"/>
        <v>0.17319552180839617</v>
      </c>
      <c r="G69" s="17" t="str">
        <f t="shared" si="2"/>
        <v/>
      </c>
    </row>
    <row r="70" spans="1:7" x14ac:dyDescent="0.2">
      <c r="A70" s="6">
        <v>43105</v>
      </c>
      <c r="B70" s="16">
        <v>19.292200000000001</v>
      </c>
      <c r="C70" s="30">
        <v>0.73750000000000004</v>
      </c>
      <c r="E70" s="17">
        <f t="shared" ref="E70:E133" si="3">IF(ISNUMBER(B70),(B70-$J$6)/$J$7,"")</f>
        <v>1.4131995423971153</v>
      </c>
      <c r="F70" s="17">
        <f t="shared" ref="F70:F133" si="4">IF(ISNUMBER(C70),-(C70-$J$8)/$J$9,"")</f>
        <v>0.49703512187670756</v>
      </c>
      <c r="G70" s="17" t="str">
        <f t="shared" ref="G70:G133" si="5">IF(ISNUMBER(D70),-(D70-$J$10)/$J$11,"")</f>
        <v/>
      </c>
    </row>
    <row r="71" spans="1:7" x14ac:dyDescent="0.2">
      <c r="A71" s="6">
        <v>43112</v>
      </c>
      <c r="B71" s="16">
        <v>19.1875</v>
      </c>
      <c r="C71" s="30">
        <v>0.84499999999999997</v>
      </c>
      <c r="E71" s="17">
        <f t="shared" si="3"/>
        <v>1.3739883400919024</v>
      </c>
      <c r="F71" s="17">
        <f t="shared" si="4"/>
        <v>0.37488509728953751</v>
      </c>
      <c r="G71" s="17" t="str">
        <f t="shared" si="5"/>
        <v/>
      </c>
    </row>
    <row r="72" spans="1:7" x14ac:dyDescent="0.2">
      <c r="A72" s="6">
        <v>43119</v>
      </c>
      <c r="B72" s="16">
        <v>19.4697</v>
      </c>
      <c r="C72" s="30">
        <v>0.74250000000000005</v>
      </c>
      <c r="E72" s="17">
        <f t="shared" si="3"/>
        <v>1.4796750763911475</v>
      </c>
      <c r="F72" s="17">
        <f t="shared" si="4"/>
        <v>0.49135372538428101</v>
      </c>
      <c r="G72" s="17" t="str">
        <f t="shared" si="5"/>
        <v/>
      </c>
    </row>
    <row r="73" spans="1:7" x14ac:dyDescent="0.2">
      <c r="A73" s="6">
        <v>43126</v>
      </c>
      <c r="B73" s="16">
        <v>19.825299999999999</v>
      </c>
      <c r="C73" s="30">
        <v>0.76</v>
      </c>
      <c r="E73" s="17">
        <f t="shared" si="3"/>
        <v>1.6128508504096153</v>
      </c>
      <c r="F73" s="17">
        <f t="shared" si="4"/>
        <v>0.47146883766078829</v>
      </c>
      <c r="G73" s="17" t="str">
        <f t="shared" si="5"/>
        <v/>
      </c>
    </row>
    <row r="74" spans="1:7" x14ac:dyDescent="0.2">
      <c r="A74" s="6">
        <v>43133</v>
      </c>
      <c r="B74" s="16">
        <v>19.635400000000001</v>
      </c>
      <c r="C74" s="30">
        <v>1.0225</v>
      </c>
      <c r="E74" s="17">
        <f t="shared" si="3"/>
        <v>1.5417313917872677</v>
      </c>
      <c r="F74" s="17">
        <f t="shared" si="4"/>
        <v>0.17319552180839617</v>
      </c>
      <c r="G74" s="17" t="str">
        <f t="shared" si="5"/>
        <v/>
      </c>
    </row>
    <row r="75" spans="1:7" x14ac:dyDescent="0.2">
      <c r="A75" s="6">
        <v>43140</v>
      </c>
      <c r="B75" s="16">
        <v>19.287700000000001</v>
      </c>
      <c r="C75" s="30">
        <v>1.605</v>
      </c>
      <c r="E75" s="17">
        <f t="shared" si="3"/>
        <v>1.4115142471690976</v>
      </c>
      <c r="F75" s="17">
        <f t="shared" si="4"/>
        <v>-0.48868716955929309</v>
      </c>
      <c r="G75" s="17" t="str">
        <f t="shared" si="5"/>
        <v/>
      </c>
    </row>
    <row r="76" spans="1:7" x14ac:dyDescent="0.2">
      <c r="A76" s="6">
        <v>43147</v>
      </c>
      <c r="B76" s="16">
        <v>19.532</v>
      </c>
      <c r="C76" s="30">
        <v>1.51</v>
      </c>
      <c r="E76" s="17">
        <f t="shared" si="3"/>
        <v>1.5030070525479267</v>
      </c>
      <c r="F76" s="17">
        <f t="shared" si="4"/>
        <v>-0.38074063620318926</v>
      </c>
      <c r="G76" s="17" t="str">
        <f t="shared" si="5"/>
        <v/>
      </c>
    </row>
    <row r="77" spans="1:7" x14ac:dyDescent="0.2">
      <c r="A77" s="6">
        <v>43154</v>
      </c>
      <c r="B77" s="16">
        <v>19.599399999999999</v>
      </c>
      <c r="C77" s="30">
        <v>1.5075000000000001</v>
      </c>
      <c r="E77" s="17">
        <f t="shared" si="3"/>
        <v>1.5282490299631253</v>
      </c>
      <c r="F77" s="17">
        <f t="shared" si="4"/>
        <v>-0.37789993795697607</v>
      </c>
      <c r="G77" s="17" t="str">
        <f t="shared" si="5"/>
        <v/>
      </c>
    </row>
    <row r="78" spans="1:7" x14ac:dyDescent="0.2">
      <c r="A78" s="6">
        <v>43161</v>
      </c>
      <c r="B78" s="16">
        <v>19.287299999999998</v>
      </c>
      <c r="C78" s="30">
        <v>1.4775</v>
      </c>
      <c r="E78" s="17">
        <f t="shared" si="3"/>
        <v>1.4113644431488284</v>
      </c>
      <c r="F78" s="17">
        <f t="shared" si="4"/>
        <v>-0.34381155900241694</v>
      </c>
      <c r="G78" s="17" t="str">
        <f t="shared" si="5"/>
        <v/>
      </c>
    </row>
    <row r="79" spans="1:7" x14ac:dyDescent="0.2">
      <c r="A79" s="6">
        <v>43168</v>
      </c>
      <c r="B79" s="16">
        <v>18.910399999999999</v>
      </c>
      <c r="C79" s="30">
        <v>1.3025</v>
      </c>
      <c r="E79" s="17">
        <f t="shared" si="3"/>
        <v>1.2702116050510768</v>
      </c>
      <c r="F79" s="17">
        <f t="shared" si="4"/>
        <v>-0.1449626817674888</v>
      </c>
      <c r="G79" s="17" t="str">
        <f t="shared" si="5"/>
        <v/>
      </c>
    </row>
    <row r="80" spans="1:7" x14ac:dyDescent="0.2">
      <c r="A80" s="6">
        <v>43175</v>
      </c>
      <c r="B80" s="16">
        <v>16.1816</v>
      </c>
      <c r="C80" s="30">
        <v>1.2749999999999999</v>
      </c>
      <c r="E80" s="17">
        <f t="shared" si="3"/>
        <v>0.24824857878112325</v>
      </c>
      <c r="F80" s="17">
        <f t="shared" si="4"/>
        <v>-0.11371500105914288</v>
      </c>
      <c r="G80" s="17" t="str">
        <f t="shared" si="5"/>
        <v/>
      </c>
    </row>
    <row r="81" spans="1:7" x14ac:dyDescent="0.2">
      <c r="A81" s="6">
        <v>43182</v>
      </c>
      <c r="B81" s="16">
        <v>15.9741</v>
      </c>
      <c r="C81" s="30">
        <v>1.2275</v>
      </c>
      <c r="E81" s="17">
        <f t="shared" si="3"/>
        <v>0.17053774326697235</v>
      </c>
      <c r="F81" s="17">
        <f t="shared" si="4"/>
        <v>-5.9741734381091108E-2</v>
      </c>
      <c r="G81" s="17" t="str">
        <f t="shared" si="5"/>
        <v/>
      </c>
    </row>
    <row r="82" spans="1:7" x14ac:dyDescent="0.2">
      <c r="A82" s="6">
        <v>43189</v>
      </c>
      <c r="B82" s="16">
        <v>15.863200000000001</v>
      </c>
      <c r="C82" s="30">
        <v>1.1875</v>
      </c>
      <c r="E82" s="17">
        <f t="shared" si="3"/>
        <v>0.12900457864760234</v>
      </c>
      <c r="F82" s="17">
        <f t="shared" si="4"/>
        <v>-1.4290562441678931E-2</v>
      </c>
      <c r="G82" s="17" t="str">
        <f t="shared" si="5"/>
        <v/>
      </c>
    </row>
    <row r="83" spans="1:7" x14ac:dyDescent="0.2">
      <c r="A83" s="6">
        <v>43196</v>
      </c>
      <c r="B83" s="16">
        <v>15.81</v>
      </c>
      <c r="C83" s="30">
        <v>1.0625</v>
      </c>
      <c r="E83" s="17">
        <f t="shared" si="3"/>
        <v>0.10908064395192588</v>
      </c>
      <c r="F83" s="17">
        <f t="shared" si="4"/>
        <v>0.127744349868984</v>
      </c>
      <c r="G83" s="17" t="str">
        <f t="shared" si="5"/>
        <v/>
      </c>
    </row>
    <row r="84" spans="1:7" x14ac:dyDescent="0.2">
      <c r="A84" s="6">
        <v>43203</v>
      </c>
      <c r="B84" s="16">
        <v>16.143599999999999</v>
      </c>
      <c r="C84" s="30">
        <v>0.94</v>
      </c>
      <c r="E84" s="17">
        <f t="shared" si="3"/>
        <v>0.23401719685564007</v>
      </c>
      <c r="F84" s="17">
        <f t="shared" si="4"/>
        <v>0.26693856393343374</v>
      </c>
      <c r="G84" s="17" t="str">
        <f t="shared" si="5"/>
        <v/>
      </c>
    </row>
    <row r="85" spans="1:7" x14ac:dyDescent="0.2">
      <c r="A85" s="6">
        <v>43210</v>
      </c>
      <c r="B85" s="16">
        <v>16.346900000000002</v>
      </c>
      <c r="C85" s="30">
        <v>0.83750000000000002</v>
      </c>
      <c r="E85" s="17">
        <f t="shared" si="3"/>
        <v>0.3101550901569754</v>
      </c>
      <c r="F85" s="17">
        <f t="shared" si="4"/>
        <v>0.38340719202817725</v>
      </c>
      <c r="G85" s="17" t="str">
        <f t="shared" si="5"/>
        <v/>
      </c>
    </row>
    <row r="86" spans="1:7" x14ac:dyDescent="0.2">
      <c r="A86" s="6">
        <v>43217</v>
      </c>
      <c r="B86" s="16">
        <v>15.091100000000001</v>
      </c>
      <c r="C86" s="30">
        <v>1.0425</v>
      </c>
      <c r="E86" s="17">
        <f t="shared" si="3"/>
        <v>-0.16015463147517367</v>
      </c>
      <c r="F86" s="17">
        <f t="shared" si="4"/>
        <v>0.15046993583869009</v>
      </c>
      <c r="G86" s="17" t="str">
        <f t="shared" si="5"/>
        <v/>
      </c>
    </row>
    <row r="87" spans="1:7" x14ac:dyDescent="0.2">
      <c r="A87" s="6">
        <v>43224</v>
      </c>
      <c r="B87" s="16">
        <v>14.7742</v>
      </c>
      <c r="C87" s="30">
        <v>1.1274999999999999</v>
      </c>
      <c r="E87" s="17">
        <f t="shared" si="3"/>
        <v>-0.27883686653268935</v>
      </c>
      <c r="F87" s="17">
        <f t="shared" si="4"/>
        <v>5.3886195467439335E-2</v>
      </c>
      <c r="G87" s="17" t="str">
        <f t="shared" si="5"/>
        <v/>
      </c>
    </row>
    <row r="88" spans="1:7" x14ac:dyDescent="0.2">
      <c r="A88" s="6">
        <v>43231</v>
      </c>
      <c r="B88" s="16">
        <v>15.2624</v>
      </c>
      <c r="C88" s="30">
        <v>1.9750000000000001</v>
      </c>
      <c r="E88" s="17">
        <f t="shared" si="3"/>
        <v>-9.6001059795299118E-2</v>
      </c>
      <c r="F88" s="17">
        <f t="shared" si="4"/>
        <v>-0.90911050999885545</v>
      </c>
      <c r="G88" s="17" t="str">
        <f t="shared" si="5"/>
        <v/>
      </c>
    </row>
    <row r="89" spans="1:7" x14ac:dyDescent="0.2">
      <c r="A89" s="6">
        <v>43238</v>
      </c>
      <c r="B89" s="16">
        <v>14.506399999999999</v>
      </c>
      <c r="C89" s="30">
        <v>1.77</v>
      </c>
      <c r="E89" s="17">
        <f t="shared" si="3"/>
        <v>-0.37913065810227842</v>
      </c>
      <c r="F89" s="17">
        <f t="shared" si="4"/>
        <v>-0.67617325380936821</v>
      </c>
      <c r="G89" s="17" t="str">
        <f t="shared" si="5"/>
        <v/>
      </c>
    </row>
    <row r="90" spans="1:7" x14ac:dyDescent="0.2">
      <c r="A90" s="6">
        <v>43245</v>
      </c>
      <c r="B90" s="16">
        <v>15.2529</v>
      </c>
      <c r="C90" s="30">
        <v>1.7825</v>
      </c>
      <c r="E90" s="17">
        <f t="shared" si="3"/>
        <v>-9.9558905276669579E-2</v>
      </c>
      <c r="F90" s="17">
        <f t="shared" si="4"/>
        <v>-0.69037674504043445</v>
      </c>
      <c r="G90" s="17" t="str">
        <f t="shared" si="5"/>
        <v/>
      </c>
    </row>
    <row r="91" spans="1:7" x14ac:dyDescent="0.2">
      <c r="A91" s="6">
        <v>43252</v>
      </c>
      <c r="B91" s="16">
        <v>14.9994</v>
      </c>
      <c r="C91" s="30">
        <v>1.6475</v>
      </c>
      <c r="E91" s="17">
        <f t="shared" si="3"/>
        <v>-0.19449720312166885</v>
      </c>
      <c r="F91" s="17">
        <f t="shared" si="4"/>
        <v>-0.53697903974491845</v>
      </c>
      <c r="G91" s="17" t="str">
        <f t="shared" si="5"/>
        <v/>
      </c>
    </row>
    <row r="92" spans="1:7" x14ac:dyDescent="0.2">
      <c r="A92" s="6">
        <v>43259</v>
      </c>
      <c r="B92" s="16">
        <v>14.9613</v>
      </c>
      <c r="C92" s="30">
        <v>1.5149999999999999</v>
      </c>
      <c r="E92" s="17">
        <f t="shared" si="3"/>
        <v>-0.208766036052219</v>
      </c>
      <c r="F92" s="17">
        <f t="shared" si="4"/>
        <v>-0.3864220326956157</v>
      </c>
      <c r="G92" s="17" t="str">
        <f t="shared" si="5"/>
        <v/>
      </c>
    </row>
    <row r="93" spans="1:7" x14ac:dyDescent="0.2">
      <c r="A93" s="6">
        <v>43266</v>
      </c>
      <c r="B93" s="16">
        <v>14.962400000000001</v>
      </c>
      <c r="C93" s="30">
        <v>1.5525</v>
      </c>
      <c r="E93" s="17">
        <f t="shared" si="3"/>
        <v>-0.20835407499648095</v>
      </c>
      <c r="F93" s="17">
        <f t="shared" si="4"/>
        <v>-0.42903250638881468</v>
      </c>
      <c r="G93" s="17" t="str">
        <f t="shared" si="5"/>
        <v/>
      </c>
    </row>
    <row r="94" spans="1:7" x14ac:dyDescent="0.2">
      <c r="A94" s="6">
        <v>43273</v>
      </c>
      <c r="B94" s="16">
        <v>14.427899999999999</v>
      </c>
      <c r="C94" s="30">
        <v>1.5774999999999999</v>
      </c>
      <c r="E94" s="17">
        <f t="shared" si="3"/>
        <v>-0.40852969707992115</v>
      </c>
      <c r="F94" s="17">
        <f t="shared" si="4"/>
        <v>-0.45743948885094715</v>
      </c>
      <c r="G94" s="17" t="str">
        <f t="shared" si="5"/>
        <v/>
      </c>
    </row>
    <row r="95" spans="1:7" x14ac:dyDescent="0.2">
      <c r="A95" s="6">
        <v>43280</v>
      </c>
      <c r="B95" s="16">
        <v>14.3079</v>
      </c>
      <c r="C95" s="30">
        <v>1.7475000000000001</v>
      </c>
      <c r="E95" s="17">
        <f t="shared" si="3"/>
        <v>-0.45347090316039373</v>
      </c>
      <c r="F95" s="17">
        <f t="shared" si="4"/>
        <v>-0.65060696959344888</v>
      </c>
      <c r="G95" s="17" t="str">
        <f t="shared" si="5"/>
        <v/>
      </c>
    </row>
    <row r="96" spans="1:7" x14ac:dyDescent="0.2">
      <c r="A96" s="6">
        <v>43287</v>
      </c>
      <c r="B96" s="16">
        <v>14.063499999999999</v>
      </c>
      <c r="C96" s="30">
        <v>1.73</v>
      </c>
      <c r="E96" s="17">
        <f t="shared" si="3"/>
        <v>-0.5450011595442904</v>
      </c>
      <c r="F96" s="17">
        <f t="shared" si="4"/>
        <v>-0.63072208186995604</v>
      </c>
      <c r="G96" s="17" t="str">
        <f t="shared" si="5"/>
        <v/>
      </c>
    </row>
    <row r="97" spans="1:7" x14ac:dyDescent="0.2">
      <c r="A97" s="6">
        <v>43294</v>
      </c>
      <c r="B97" s="16">
        <v>14.874700000000001</v>
      </c>
      <c r="C97" s="30">
        <v>1.5449999999999999</v>
      </c>
      <c r="E97" s="17">
        <f t="shared" si="3"/>
        <v>-0.2411986064402932</v>
      </c>
      <c r="F97" s="17">
        <f t="shared" si="4"/>
        <v>-0.42051041165017483</v>
      </c>
      <c r="G97" s="17" t="str">
        <f t="shared" si="5"/>
        <v/>
      </c>
    </row>
    <row r="98" spans="1:7" x14ac:dyDescent="0.2">
      <c r="A98" s="6">
        <v>43301</v>
      </c>
      <c r="B98" s="16">
        <v>14.706</v>
      </c>
      <c r="C98" s="30">
        <v>1.4824999999999999</v>
      </c>
      <c r="E98" s="17">
        <f t="shared" si="3"/>
        <v>-0.30437845198842511</v>
      </c>
      <c r="F98" s="17">
        <f t="shared" si="4"/>
        <v>-0.34949295549484338</v>
      </c>
      <c r="G98" s="17" t="str">
        <f t="shared" si="5"/>
        <v/>
      </c>
    </row>
    <row r="99" spans="1:7" x14ac:dyDescent="0.2">
      <c r="A99" s="6">
        <v>43308</v>
      </c>
      <c r="B99" s="16">
        <v>15.0555</v>
      </c>
      <c r="C99" s="30">
        <v>1.3075000000000001</v>
      </c>
      <c r="E99" s="17">
        <f t="shared" si="3"/>
        <v>-0.17348718927904749</v>
      </c>
      <c r="F99" s="17">
        <f t="shared" si="4"/>
        <v>-0.15064407825991546</v>
      </c>
      <c r="G99" s="17" t="str">
        <f t="shared" si="5"/>
        <v/>
      </c>
    </row>
    <row r="100" spans="1:7" x14ac:dyDescent="0.2">
      <c r="A100" s="6">
        <v>43315</v>
      </c>
      <c r="B100" s="16">
        <v>15.240600000000001</v>
      </c>
      <c r="C100" s="30">
        <v>1.2150000000000001</v>
      </c>
      <c r="E100" s="17">
        <f t="shared" si="3"/>
        <v>-0.10416537889991796</v>
      </c>
      <c r="F100" s="17">
        <f t="shared" si="4"/>
        <v>-4.5538243150024867E-2</v>
      </c>
      <c r="G100" s="17" t="str">
        <f t="shared" si="5"/>
        <v/>
      </c>
    </row>
    <row r="101" spans="1:7" x14ac:dyDescent="0.2">
      <c r="A101" s="6">
        <v>43322</v>
      </c>
      <c r="B101" s="16">
        <v>15.517099999999999</v>
      </c>
      <c r="C101" s="30">
        <v>1.0049999999999999</v>
      </c>
      <c r="E101" s="17">
        <f t="shared" si="3"/>
        <v>-6.1334988949551859E-4</v>
      </c>
      <c r="F101" s="17">
        <f t="shared" si="4"/>
        <v>0.19308040953188907</v>
      </c>
      <c r="G101" s="17" t="str">
        <f t="shared" si="5"/>
        <v/>
      </c>
    </row>
    <row r="102" spans="1:7" x14ac:dyDescent="0.2">
      <c r="A102" s="6">
        <v>43329</v>
      </c>
      <c r="B102" s="16">
        <v>14.622199999999999</v>
      </c>
      <c r="C102" s="30">
        <v>1.5225</v>
      </c>
      <c r="E102" s="17">
        <f t="shared" si="3"/>
        <v>-0.33576239423462206</v>
      </c>
      <c r="F102" s="17">
        <f t="shared" si="4"/>
        <v>-0.39494412743425555</v>
      </c>
      <c r="G102" s="17" t="str">
        <f t="shared" si="5"/>
        <v/>
      </c>
    </row>
    <row r="103" spans="1:7" x14ac:dyDescent="0.2">
      <c r="A103" s="6">
        <v>43336</v>
      </c>
      <c r="B103" s="16">
        <v>15.277200000000001</v>
      </c>
      <c r="C103" s="30">
        <v>1.4724999999999999</v>
      </c>
      <c r="E103" s="17">
        <f t="shared" si="3"/>
        <v>-9.0458311045373746E-2</v>
      </c>
      <c r="F103" s="17">
        <f t="shared" si="4"/>
        <v>-0.33813016250999034</v>
      </c>
      <c r="G103" s="17" t="str">
        <f t="shared" si="5"/>
        <v/>
      </c>
    </row>
    <row r="104" spans="1:7" x14ac:dyDescent="0.2">
      <c r="A104" s="6">
        <v>43343</v>
      </c>
      <c r="B104" s="16">
        <v>15.407500000000001</v>
      </c>
      <c r="C104" s="30">
        <v>2.145</v>
      </c>
      <c r="E104" s="17">
        <f t="shared" si="3"/>
        <v>-4.1659651442993564E-2</v>
      </c>
      <c r="F104" s="17">
        <f t="shared" si="4"/>
        <v>-1.1022779907413569</v>
      </c>
      <c r="G104" s="17" t="str">
        <f t="shared" si="5"/>
        <v/>
      </c>
    </row>
    <row r="105" spans="1:7" x14ac:dyDescent="0.2">
      <c r="A105" s="6">
        <v>43350</v>
      </c>
      <c r="B105" s="16">
        <v>14.9779</v>
      </c>
      <c r="C105" s="30">
        <v>2.8050000000000002</v>
      </c>
      <c r="E105" s="17">
        <f t="shared" si="3"/>
        <v>-0.20254916921108676</v>
      </c>
      <c r="F105" s="17">
        <f t="shared" si="4"/>
        <v>-1.8522223277416574</v>
      </c>
      <c r="G105" s="17" t="str">
        <f t="shared" si="5"/>
        <v/>
      </c>
    </row>
    <row r="106" spans="1:7" x14ac:dyDescent="0.2">
      <c r="A106" s="6">
        <v>43357</v>
      </c>
      <c r="B106" s="16">
        <v>15.165100000000001</v>
      </c>
      <c r="C106" s="30">
        <v>2.72</v>
      </c>
      <c r="E106" s="17">
        <f t="shared" si="3"/>
        <v>-0.13244088772554879</v>
      </c>
      <c r="F106" s="17">
        <f t="shared" si="4"/>
        <v>-1.7556385873704066</v>
      </c>
      <c r="G106" s="17" t="str">
        <f t="shared" si="5"/>
        <v/>
      </c>
    </row>
    <row r="107" spans="1:7" x14ac:dyDescent="0.2">
      <c r="A107" s="6">
        <v>43364</v>
      </c>
      <c r="B107" s="16">
        <v>15.2925</v>
      </c>
      <c r="C107" s="30">
        <v>1.9950000000000001</v>
      </c>
      <c r="E107" s="17">
        <f t="shared" si="3"/>
        <v>-8.4728307270113504E-2</v>
      </c>
      <c r="F107" s="17">
        <f t="shared" si="4"/>
        <v>-0.93183609596856154</v>
      </c>
      <c r="G107" s="17" t="str">
        <f t="shared" si="5"/>
        <v/>
      </c>
    </row>
    <row r="108" spans="1:7" x14ac:dyDescent="0.2">
      <c r="A108" s="6">
        <v>43371</v>
      </c>
      <c r="B108" s="16">
        <v>15.4541</v>
      </c>
      <c r="C108" s="30">
        <v>1.9125000000000001</v>
      </c>
      <c r="E108" s="17">
        <f t="shared" si="3"/>
        <v>-2.420748308174335E-2</v>
      </c>
      <c r="F108" s="17">
        <f t="shared" si="4"/>
        <v>-0.83809305384352406</v>
      </c>
      <c r="G108" s="17" t="str">
        <f t="shared" si="5"/>
        <v/>
      </c>
    </row>
    <row r="109" spans="1:7" x14ac:dyDescent="0.2">
      <c r="A109" s="6">
        <v>43378</v>
      </c>
      <c r="B109" s="16">
        <v>14.5562</v>
      </c>
      <c r="C109" s="30">
        <v>2.1324999999999998</v>
      </c>
      <c r="E109" s="17">
        <f t="shared" si="3"/>
        <v>-0.36048005757888174</v>
      </c>
      <c r="F109" s="17">
        <f t="shared" si="4"/>
        <v>-1.0880744995102904</v>
      </c>
      <c r="G109" s="17" t="str">
        <f t="shared" si="5"/>
        <v/>
      </c>
    </row>
    <row r="110" spans="1:7" x14ac:dyDescent="0.2">
      <c r="A110" s="6">
        <v>43385</v>
      </c>
      <c r="B110" s="16">
        <v>14.6426</v>
      </c>
      <c r="C110" s="30">
        <v>2.17</v>
      </c>
      <c r="E110" s="17">
        <f t="shared" si="3"/>
        <v>-0.3281223892009415</v>
      </c>
      <c r="F110" s="17">
        <f t="shared" si="4"/>
        <v>-1.1306849732034894</v>
      </c>
      <c r="G110" s="17" t="str">
        <f t="shared" si="5"/>
        <v/>
      </c>
    </row>
    <row r="111" spans="1:7" x14ac:dyDescent="0.2">
      <c r="A111" s="6">
        <v>43392</v>
      </c>
      <c r="B111" s="16">
        <v>15.019600000000001</v>
      </c>
      <c r="C111" s="30">
        <v>1.8525</v>
      </c>
      <c r="E111" s="17">
        <f t="shared" si="3"/>
        <v>-0.18693210009812225</v>
      </c>
      <c r="F111" s="17">
        <f t="shared" si="4"/>
        <v>-0.76991629593440569</v>
      </c>
      <c r="G111" s="17" t="str">
        <f t="shared" si="5"/>
        <v/>
      </c>
    </row>
    <row r="112" spans="1:7" x14ac:dyDescent="0.2">
      <c r="A112" s="6">
        <v>43399</v>
      </c>
      <c r="B112" s="16">
        <v>14.8171</v>
      </c>
      <c r="C112" s="30">
        <v>1.7050000000000001</v>
      </c>
      <c r="E112" s="17">
        <f t="shared" si="3"/>
        <v>-0.26277038535892044</v>
      </c>
      <c r="F112" s="17">
        <f t="shared" si="4"/>
        <v>-0.60231509940782357</v>
      </c>
      <c r="G112" s="17" t="str">
        <f t="shared" si="5"/>
        <v/>
      </c>
    </row>
    <row r="113" spans="1:7" x14ac:dyDescent="0.2">
      <c r="A113" s="6">
        <v>43406</v>
      </c>
      <c r="B113" s="16">
        <v>15.5924</v>
      </c>
      <c r="C113" s="30">
        <v>1.4550000000000001</v>
      </c>
      <c r="E113" s="17">
        <f t="shared" si="3"/>
        <v>2.758725692600136E-2</v>
      </c>
      <c r="F113" s="17">
        <f t="shared" si="4"/>
        <v>-0.31824527478649767</v>
      </c>
      <c r="G113" s="17" t="str">
        <f t="shared" si="5"/>
        <v/>
      </c>
    </row>
    <row r="114" spans="1:7" x14ac:dyDescent="0.2">
      <c r="A114" s="6">
        <v>43413</v>
      </c>
      <c r="B114" s="16">
        <v>15.5075</v>
      </c>
      <c r="C114" s="30">
        <v>1.45</v>
      </c>
      <c r="E114" s="17">
        <f t="shared" si="3"/>
        <v>-4.208646375932954E-3</v>
      </c>
      <c r="F114" s="17">
        <f t="shared" si="4"/>
        <v>-0.31256387829407101</v>
      </c>
      <c r="G114" s="17" t="str">
        <f t="shared" si="5"/>
        <v/>
      </c>
    </row>
    <row r="115" spans="1:7" x14ac:dyDescent="0.2">
      <c r="A115" s="6">
        <v>43420</v>
      </c>
      <c r="B115" s="16">
        <v>16.050699999999999</v>
      </c>
      <c r="C115" s="30">
        <v>1.4975000000000001</v>
      </c>
      <c r="E115" s="17">
        <f t="shared" si="3"/>
        <v>0.19922521314834055</v>
      </c>
      <c r="F115" s="17">
        <f t="shared" si="4"/>
        <v>-0.36653714497212303</v>
      </c>
      <c r="G115" s="17" t="str">
        <f t="shared" si="5"/>
        <v/>
      </c>
    </row>
    <row r="116" spans="1:7" x14ac:dyDescent="0.2">
      <c r="A116" s="6">
        <v>43427</v>
      </c>
      <c r="B116" s="16">
        <v>16.043800000000001</v>
      </c>
      <c r="C116" s="30">
        <v>1.4924999999999999</v>
      </c>
      <c r="E116" s="17">
        <f t="shared" si="3"/>
        <v>0.19664109379871406</v>
      </c>
      <c r="F116" s="17">
        <f t="shared" si="4"/>
        <v>-0.36085574847969643</v>
      </c>
      <c r="G116" s="17" t="str">
        <f t="shared" si="5"/>
        <v/>
      </c>
    </row>
    <row r="117" spans="1:7" x14ac:dyDescent="0.2">
      <c r="A117" s="6">
        <v>43434</v>
      </c>
      <c r="B117" s="16">
        <v>16.088200000000001</v>
      </c>
      <c r="C117" s="30">
        <v>1.365</v>
      </c>
      <c r="E117" s="17">
        <f t="shared" si="3"/>
        <v>0.21326934004848888</v>
      </c>
      <c r="F117" s="17">
        <f t="shared" si="4"/>
        <v>-0.21598013792282028</v>
      </c>
      <c r="G117" s="17" t="str">
        <f t="shared" si="5"/>
        <v/>
      </c>
    </row>
    <row r="118" spans="1:7" x14ac:dyDescent="0.2">
      <c r="A118" s="6">
        <v>43441</v>
      </c>
      <c r="B118" s="16">
        <v>16.316299999999998</v>
      </c>
      <c r="C118" s="30">
        <v>1.3075000000000001</v>
      </c>
      <c r="E118" s="17">
        <f t="shared" si="3"/>
        <v>0.29869508260645361</v>
      </c>
      <c r="F118" s="17">
        <f t="shared" si="4"/>
        <v>-0.15064407825991546</v>
      </c>
      <c r="G118" s="17" t="str">
        <f t="shared" si="5"/>
        <v/>
      </c>
    </row>
    <row r="119" spans="1:7" x14ac:dyDescent="0.2">
      <c r="A119" s="6">
        <v>43448</v>
      </c>
      <c r="B119" s="16">
        <v>16.422899999999998</v>
      </c>
      <c r="C119" s="30">
        <v>1.405</v>
      </c>
      <c r="E119" s="17">
        <f t="shared" si="3"/>
        <v>0.33861785400794042</v>
      </c>
      <c r="F119" s="17">
        <f t="shared" si="4"/>
        <v>-0.26143130986223245</v>
      </c>
      <c r="G119" s="17" t="str">
        <f t="shared" si="5"/>
        <v/>
      </c>
    </row>
    <row r="120" spans="1:7" x14ac:dyDescent="0.2">
      <c r="A120" s="6">
        <v>43455</v>
      </c>
      <c r="B120" s="16">
        <v>16.315799999999999</v>
      </c>
      <c r="C120" s="30">
        <v>1.36</v>
      </c>
      <c r="E120" s="17">
        <f t="shared" si="3"/>
        <v>0.29850782758111871</v>
      </c>
      <c r="F120" s="17">
        <f t="shared" si="4"/>
        <v>-0.21029874143039387</v>
      </c>
      <c r="G120" s="17" t="str">
        <f t="shared" si="5"/>
        <v/>
      </c>
    </row>
    <row r="121" spans="1:7" x14ac:dyDescent="0.2">
      <c r="A121" s="6">
        <v>43462</v>
      </c>
      <c r="B121" s="16">
        <v>16.3368</v>
      </c>
      <c r="C121" s="30">
        <v>1.3425</v>
      </c>
      <c r="E121" s="17">
        <f t="shared" si="3"/>
        <v>0.30637253864520175</v>
      </c>
      <c r="F121" s="17">
        <f t="shared" si="4"/>
        <v>-0.190413853706901</v>
      </c>
      <c r="G121" s="17" t="str">
        <f t="shared" si="5"/>
        <v/>
      </c>
    </row>
    <row r="122" spans="1:7" x14ac:dyDescent="0.2">
      <c r="A122" s="6">
        <v>43469</v>
      </c>
      <c r="B122" s="16">
        <v>16.5535</v>
      </c>
      <c r="C122" s="30">
        <v>1.2875000000000001</v>
      </c>
      <c r="E122" s="17">
        <f t="shared" si="3"/>
        <v>0.38752886662552222</v>
      </c>
      <c r="F122" s="17">
        <f t="shared" si="4"/>
        <v>-0.12791849229020938</v>
      </c>
      <c r="G122" s="17" t="str">
        <f t="shared" si="5"/>
        <v/>
      </c>
    </row>
    <row r="123" spans="1:7" x14ac:dyDescent="0.2">
      <c r="A123" s="6">
        <v>43476</v>
      </c>
      <c r="B123" s="16">
        <v>16.8919</v>
      </c>
      <c r="C123" s="30">
        <v>1.2825</v>
      </c>
      <c r="E123" s="17">
        <f t="shared" si="3"/>
        <v>0.51426306777245578</v>
      </c>
      <c r="F123" s="17">
        <f t="shared" si="4"/>
        <v>-0.12223709579778272</v>
      </c>
      <c r="G123" s="17" t="str">
        <f t="shared" si="5"/>
        <v/>
      </c>
    </row>
    <row r="124" spans="1:7" x14ac:dyDescent="0.2">
      <c r="A124" s="6">
        <v>43483</v>
      </c>
      <c r="B124" s="16">
        <v>17.3003</v>
      </c>
      <c r="C124" s="30">
        <v>1.27</v>
      </c>
      <c r="E124" s="17">
        <f t="shared" si="3"/>
        <v>0.66721297246633193</v>
      </c>
      <c r="F124" s="17">
        <f t="shared" si="4"/>
        <v>-0.10803360456671648</v>
      </c>
      <c r="G124" s="17" t="str">
        <f t="shared" si="5"/>
        <v/>
      </c>
    </row>
    <row r="125" spans="1:7" x14ac:dyDescent="0.2">
      <c r="A125" s="6">
        <v>43490</v>
      </c>
      <c r="B125" s="16">
        <v>17.2318</v>
      </c>
      <c r="C125" s="30">
        <v>1.1850000000000001</v>
      </c>
      <c r="E125" s="17">
        <f t="shared" si="3"/>
        <v>0.64155903399539527</v>
      </c>
      <c r="F125" s="17">
        <f t="shared" si="4"/>
        <v>-1.1449864195465733E-2</v>
      </c>
      <c r="G125" s="17" t="str">
        <f t="shared" si="5"/>
        <v/>
      </c>
    </row>
    <row r="126" spans="1:7" x14ac:dyDescent="0.2">
      <c r="A126" s="6">
        <v>43497</v>
      </c>
      <c r="B126" s="16">
        <v>17.3095</v>
      </c>
      <c r="C126" s="30">
        <v>1.1174999999999999</v>
      </c>
      <c r="E126" s="17">
        <f t="shared" si="3"/>
        <v>0.67065846493250147</v>
      </c>
      <c r="F126" s="17">
        <f t="shared" si="4"/>
        <v>6.5248988452292378E-2</v>
      </c>
      <c r="G126" s="17" t="str">
        <f t="shared" si="5"/>
        <v/>
      </c>
    </row>
    <row r="127" spans="1:7" x14ac:dyDescent="0.2">
      <c r="A127" s="6">
        <v>43504</v>
      </c>
      <c r="B127" s="16">
        <v>17.052600000000002</v>
      </c>
      <c r="C127" s="30">
        <v>1.1200000000000001</v>
      </c>
      <c r="E127" s="17">
        <f t="shared" si="3"/>
        <v>0.57444683291522314</v>
      </c>
      <c r="F127" s="17">
        <f t="shared" si="4"/>
        <v>6.240829020607893E-2</v>
      </c>
      <c r="G127" s="17" t="str">
        <f t="shared" si="5"/>
        <v/>
      </c>
    </row>
    <row r="128" spans="1:7" x14ac:dyDescent="0.2">
      <c r="A128" s="6">
        <v>43511</v>
      </c>
      <c r="B128" s="16">
        <v>16.467500000000001</v>
      </c>
      <c r="C128" s="30">
        <v>1.0649999999999999</v>
      </c>
      <c r="E128" s="17">
        <f t="shared" si="3"/>
        <v>0.35532100226785052</v>
      </c>
      <c r="F128" s="17">
        <f t="shared" si="4"/>
        <v>0.1249036516227708</v>
      </c>
      <c r="G128" s="17" t="str">
        <f t="shared" si="5"/>
        <v/>
      </c>
    </row>
    <row r="129" spans="1:7" x14ac:dyDescent="0.2">
      <c r="A129" s="6">
        <v>43518</v>
      </c>
      <c r="B129" s="16">
        <v>16.738299999999999</v>
      </c>
      <c r="C129" s="30">
        <v>1.08</v>
      </c>
      <c r="E129" s="17">
        <f t="shared" si="3"/>
        <v>0.45673832398945013</v>
      </c>
      <c r="F129" s="17">
        <f t="shared" si="4"/>
        <v>0.10785946214549111</v>
      </c>
      <c r="G129" s="17" t="str">
        <f t="shared" si="5"/>
        <v/>
      </c>
    </row>
    <row r="130" spans="1:7" x14ac:dyDescent="0.2">
      <c r="A130" s="6">
        <v>43525</v>
      </c>
      <c r="B130" s="16">
        <v>16.7471</v>
      </c>
      <c r="C130" s="30">
        <v>1.0275000000000001</v>
      </c>
      <c r="E130" s="17">
        <f t="shared" si="3"/>
        <v>0.4600340124353518</v>
      </c>
      <c r="F130" s="17">
        <f t="shared" si="4"/>
        <v>0.16751412531596951</v>
      </c>
      <c r="G130" s="17" t="str">
        <f t="shared" si="5"/>
        <v/>
      </c>
    </row>
    <row r="131" spans="1:7" x14ac:dyDescent="0.2">
      <c r="A131" s="6">
        <v>43532</v>
      </c>
      <c r="B131" s="16">
        <v>16.470600000000001</v>
      </c>
      <c r="C131" s="30">
        <v>1.04</v>
      </c>
      <c r="E131" s="17">
        <f t="shared" si="3"/>
        <v>0.35648198342492937</v>
      </c>
      <c r="F131" s="17">
        <f t="shared" si="4"/>
        <v>0.15331063408490328</v>
      </c>
      <c r="G131" s="17" t="str">
        <f t="shared" si="5"/>
        <v/>
      </c>
    </row>
    <row r="132" spans="1:7" x14ac:dyDescent="0.2">
      <c r="A132" s="6">
        <v>43539</v>
      </c>
      <c r="B132" s="16">
        <v>16.796600000000002</v>
      </c>
      <c r="C132" s="30">
        <v>1.0575000000000001</v>
      </c>
      <c r="E132" s="17">
        <f t="shared" si="3"/>
        <v>0.47857225994354757</v>
      </c>
      <c r="F132" s="17">
        <f t="shared" si="4"/>
        <v>0.13342574636141039</v>
      </c>
      <c r="G132" s="17" t="str">
        <f t="shared" si="5"/>
        <v/>
      </c>
    </row>
    <row r="133" spans="1:7" x14ac:dyDescent="0.2">
      <c r="A133" s="6">
        <v>43546</v>
      </c>
      <c r="B133" s="16">
        <v>17.105899999999998</v>
      </c>
      <c r="C133" s="30">
        <v>1.0125</v>
      </c>
      <c r="E133" s="17">
        <f t="shared" si="3"/>
        <v>0.59440821861596527</v>
      </c>
      <c r="F133" s="17">
        <f t="shared" si="4"/>
        <v>0.18455831479324922</v>
      </c>
      <c r="G133" s="17" t="str">
        <f t="shared" si="5"/>
        <v/>
      </c>
    </row>
    <row r="134" spans="1:7" x14ac:dyDescent="0.2">
      <c r="A134" s="6">
        <v>43553</v>
      </c>
      <c r="B134" s="16">
        <v>15.4892</v>
      </c>
      <c r="C134" s="30">
        <v>1.0649999999999999</v>
      </c>
      <c r="E134" s="17">
        <f t="shared" ref="E134:E197" si="6">IF(ISNUMBER(B134),(B134-$J$6)/$J$7,"")</f>
        <v>-1.1062180303205063E-2</v>
      </c>
      <c r="F134" s="17">
        <f t="shared" ref="F134:F197" si="7">IF(ISNUMBER(C134),-(C134-$J$8)/$J$9,"")</f>
        <v>0.1249036516227708</v>
      </c>
      <c r="G134" s="17" t="str">
        <f t="shared" ref="G134:G197" si="8">IF(ISNUMBER(D134),-(D134-$J$10)/$J$11,"")</f>
        <v/>
      </c>
    </row>
    <row r="135" spans="1:7" x14ac:dyDescent="0.2">
      <c r="A135" s="6">
        <v>43560</v>
      </c>
      <c r="B135" s="16">
        <v>15.624700000000001</v>
      </c>
      <c r="C135" s="30">
        <v>1.1000000000000001</v>
      </c>
      <c r="E135" s="17">
        <f t="shared" si="6"/>
        <v>3.9683931562662395E-2</v>
      </c>
      <c r="F135" s="17">
        <f t="shared" si="7"/>
        <v>8.5133876175785023E-2</v>
      </c>
      <c r="G135" s="17" t="str">
        <f t="shared" si="8"/>
        <v/>
      </c>
    </row>
    <row r="136" spans="1:7" x14ac:dyDescent="0.2">
      <c r="A136" s="6">
        <v>43567</v>
      </c>
      <c r="B136" s="16">
        <v>15.4245</v>
      </c>
      <c r="C136" s="30">
        <v>1.0549999999999999</v>
      </c>
      <c r="E136" s="17">
        <f t="shared" si="6"/>
        <v>-3.5292980581593442E-2</v>
      </c>
      <c r="F136" s="17">
        <f t="shared" si="7"/>
        <v>0.13626644460762385</v>
      </c>
      <c r="G136" s="17" t="str">
        <f t="shared" si="8"/>
        <v/>
      </c>
    </row>
    <row r="137" spans="1:7" x14ac:dyDescent="0.2">
      <c r="A137" s="6">
        <v>43574</v>
      </c>
      <c r="B137" s="16">
        <v>15.785600000000001</v>
      </c>
      <c r="C137" s="30">
        <v>1.0325</v>
      </c>
      <c r="E137" s="17">
        <f t="shared" si="6"/>
        <v>9.9942598715563061E-2</v>
      </c>
      <c r="F137" s="17">
        <f t="shared" si="7"/>
        <v>0.16183272882354313</v>
      </c>
      <c r="G137" s="17" t="str">
        <f t="shared" si="8"/>
        <v/>
      </c>
    </row>
    <row r="138" spans="1:7" x14ac:dyDescent="0.2">
      <c r="A138" s="6">
        <v>43581</v>
      </c>
      <c r="B138" s="16">
        <v>15.551500000000001</v>
      </c>
      <c r="C138" s="30">
        <v>1.0349999999999999</v>
      </c>
      <c r="E138" s="17">
        <f t="shared" si="6"/>
        <v>1.2269795853573955E-2</v>
      </c>
      <c r="F138" s="17">
        <f t="shared" si="7"/>
        <v>0.15899203057732994</v>
      </c>
      <c r="G138" s="17" t="str">
        <f t="shared" si="8"/>
        <v/>
      </c>
    </row>
    <row r="139" spans="1:7" x14ac:dyDescent="0.2">
      <c r="A139" s="6">
        <v>43588</v>
      </c>
      <c r="B139" s="16">
        <v>15.281599999999999</v>
      </c>
      <c r="C139" s="30">
        <v>1.0249999999999999</v>
      </c>
      <c r="E139" s="17">
        <f t="shared" si="6"/>
        <v>-8.8810466822423592E-2</v>
      </c>
      <c r="F139" s="17">
        <f t="shared" si="7"/>
        <v>0.17035482356218298</v>
      </c>
      <c r="G139" s="17" t="str">
        <f t="shared" si="8"/>
        <v/>
      </c>
    </row>
    <row r="140" spans="1:7" x14ac:dyDescent="0.2">
      <c r="A140" s="6">
        <v>43595</v>
      </c>
      <c r="B140" s="16">
        <v>14.976100000000001</v>
      </c>
      <c r="C140" s="30">
        <v>1.02</v>
      </c>
      <c r="E140" s="17">
        <f t="shared" si="6"/>
        <v>-0.20322328730229361</v>
      </c>
      <c r="F140" s="17">
        <f t="shared" si="7"/>
        <v>0.17603622005460937</v>
      </c>
      <c r="G140" s="17" t="str">
        <f t="shared" si="8"/>
        <v/>
      </c>
    </row>
    <row r="141" spans="1:7" x14ac:dyDescent="0.2">
      <c r="A141" s="6">
        <v>43602</v>
      </c>
      <c r="B141" s="16">
        <v>14.083</v>
      </c>
      <c r="C141" s="30">
        <v>1.1675</v>
      </c>
      <c r="E141" s="17">
        <f t="shared" si="6"/>
        <v>-0.53769821355621328</v>
      </c>
      <c r="F141" s="17">
        <f t="shared" si="7"/>
        <v>8.4350235280271583E-3</v>
      </c>
      <c r="G141" s="17" t="str">
        <f t="shared" si="8"/>
        <v/>
      </c>
    </row>
    <row r="142" spans="1:7" x14ac:dyDescent="0.2">
      <c r="A142" s="6">
        <v>43609</v>
      </c>
      <c r="B142" s="16">
        <v>14.9236</v>
      </c>
      <c r="C142" s="30">
        <v>1.165</v>
      </c>
      <c r="E142" s="17">
        <f t="shared" si="6"/>
        <v>-0.2228850649625006</v>
      </c>
      <c r="F142" s="17">
        <f t="shared" si="7"/>
        <v>1.1275721774240355E-2</v>
      </c>
      <c r="G142" s="17" t="str">
        <f t="shared" si="8"/>
        <v/>
      </c>
    </row>
    <row r="143" spans="1:7" x14ac:dyDescent="0.2">
      <c r="A143" s="6">
        <v>43616</v>
      </c>
      <c r="B143" s="16">
        <v>15.616899999999999</v>
      </c>
      <c r="C143" s="30">
        <v>1.145</v>
      </c>
      <c r="E143" s="17">
        <f t="shared" si="6"/>
        <v>3.6762753167431148E-2</v>
      </c>
      <c r="F143" s="17">
        <f t="shared" si="7"/>
        <v>3.4001307743946448E-2</v>
      </c>
      <c r="G143" s="17" t="str">
        <f t="shared" si="8"/>
        <v/>
      </c>
    </row>
    <row r="144" spans="1:7" x14ac:dyDescent="0.2">
      <c r="A144" s="6">
        <v>43623</v>
      </c>
      <c r="B144" s="16">
        <v>15.621600000000001</v>
      </c>
      <c r="C144" s="30">
        <v>1.1425000000000001</v>
      </c>
      <c r="E144" s="17">
        <f t="shared" si="6"/>
        <v>3.8522950405583553E-2</v>
      </c>
      <c r="F144" s="17">
        <f t="shared" si="7"/>
        <v>3.6842005990159639E-2</v>
      </c>
      <c r="G144" s="17" t="str">
        <f t="shared" si="8"/>
        <v/>
      </c>
    </row>
    <row r="145" spans="1:7" x14ac:dyDescent="0.2">
      <c r="A145" s="6">
        <v>43630</v>
      </c>
      <c r="B145" s="16">
        <v>15.7325</v>
      </c>
      <c r="C145" s="30">
        <v>1.105</v>
      </c>
      <c r="E145" s="17">
        <f t="shared" si="6"/>
        <v>8.0056115024953592E-2</v>
      </c>
      <c r="F145" s="17">
        <f t="shared" si="7"/>
        <v>7.9452479683358626E-2</v>
      </c>
      <c r="G145" s="17" t="str">
        <f t="shared" si="8"/>
        <v/>
      </c>
    </row>
    <row r="146" spans="1:7" x14ac:dyDescent="0.2">
      <c r="A146" s="6">
        <v>43637</v>
      </c>
      <c r="B146" s="16">
        <v>16.004100000000001</v>
      </c>
      <c r="C146" s="30">
        <v>1.095</v>
      </c>
      <c r="E146" s="17">
        <f t="shared" si="6"/>
        <v>0.181773044787091</v>
      </c>
      <c r="F146" s="17">
        <f t="shared" si="7"/>
        <v>9.0815272668211669E-2</v>
      </c>
      <c r="G146" s="17" t="str">
        <f t="shared" si="8"/>
        <v/>
      </c>
    </row>
    <row r="147" spans="1:7" x14ac:dyDescent="0.2">
      <c r="A147" s="6">
        <v>43644</v>
      </c>
      <c r="B147" s="16">
        <v>16.1797</v>
      </c>
      <c r="C147" s="30">
        <v>1.115</v>
      </c>
      <c r="E147" s="17">
        <f t="shared" si="6"/>
        <v>0.24753700968484943</v>
      </c>
      <c r="F147" s="17">
        <f t="shared" si="7"/>
        <v>6.8089686698505583E-2</v>
      </c>
      <c r="G147" s="17" t="str">
        <f t="shared" si="8"/>
        <v/>
      </c>
    </row>
    <row r="148" spans="1:7" x14ac:dyDescent="0.2">
      <c r="A148" s="6">
        <v>43651</v>
      </c>
      <c r="B148" s="16">
        <v>16.262899999999998</v>
      </c>
      <c r="C148" s="30">
        <v>1.0725</v>
      </c>
      <c r="E148" s="17">
        <f t="shared" si="6"/>
        <v>0.27869624590064318</v>
      </c>
      <c r="F148" s="17">
        <f t="shared" si="7"/>
        <v>0.11638155688413095</v>
      </c>
      <c r="G148" s="17" t="str">
        <f t="shared" si="8"/>
        <v/>
      </c>
    </row>
    <row r="149" spans="1:7" x14ac:dyDescent="0.2">
      <c r="A149" s="6">
        <v>43658</v>
      </c>
      <c r="B149" s="16">
        <v>16.290400000000002</v>
      </c>
      <c r="C149" s="30">
        <v>1.0049999999999999</v>
      </c>
      <c r="E149" s="17">
        <f t="shared" si="6"/>
        <v>0.28899527229408617</v>
      </c>
      <c r="F149" s="17">
        <f t="shared" si="7"/>
        <v>0.19308040953188907</v>
      </c>
      <c r="G149" s="17" t="str">
        <f t="shared" si="8"/>
        <v/>
      </c>
    </row>
    <row r="150" spans="1:7" x14ac:dyDescent="0.2">
      <c r="A150" s="6">
        <v>43665</v>
      </c>
      <c r="B150" s="16">
        <v>16.4742</v>
      </c>
      <c r="C150" s="30">
        <v>0.78500000000000003</v>
      </c>
      <c r="E150" s="17">
        <f t="shared" si="6"/>
        <v>0.35783021960734307</v>
      </c>
      <c r="F150" s="17">
        <f t="shared" si="7"/>
        <v>0.44306185519865565</v>
      </c>
      <c r="G150" s="17" t="str">
        <f t="shared" si="8"/>
        <v/>
      </c>
    </row>
    <row r="151" spans="1:7" x14ac:dyDescent="0.2">
      <c r="A151" s="6">
        <v>43672</v>
      </c>
      <c r="B151" s="16">
        <v>16.119199999999999</v>
      </c>
      <c r="C151" s="30">
        <v>0.67</v>
      </c>
      <c r="E151" s="17">
        <f t="shared" si="6"/>
        <v>0.22487915161927724</v>
      </c>
      <c r="F151" s="17">
        <f t="shared" si="7"/>
        <v>0.57373397452446551</v>
      </c>
      <c r="G151" s="17" t="str">
        <f t="shared" si="8"/>
        <v/>
      </c>
    </row>
    <row r="152" spans="1:7" x14ac:dyDescent="0.2">
      <c r="A152" s="6">
        <v>43679</v>
      </c>
      <c r="B152" s="16">
        <v>16.235299999999999</v>
      </c>
      <c r="C152" s="30">
        <v>0.73</v>
      </c>
      <c r="E152" s="17">
        <f t="shared" si="6"/>
        <v>0.26835976850213455</v>
      </c>
      <c r="F152" s="17">
        <f t="shared" si="7"/>
        <v>0.50555721661534736</v>
      </c>
      <c r="G152" s="17" t="str">
        <f t="shared" si="8"/>
        <v/>
      </c>
    </row>
    <row r="153" spans="1:7" x14ac:dyDescent="0.2">
      <c r="A153" s="6">
        <v>43686</v>
      </c>
      <c r="B153" s="16">
        <v>16.164000000000001</v>
      </c>
      <c r="C153" s="30">
        <v>0.67500000000000004</v>
      </c>
      <c r="E153" s="17">
        <f t="shared" si="6"/>
        <v>0.24165720188932127</v>
      </c>
      <c r="F153" s="17">
        <f t="shared" si="7"/>
        <v>0.56805257803203901</v>
      </c>
      <c r="G153" s="17" t="str">
        <f t="shared" si="8"/>
        <v/>
      </c>
    </row>
    <row r="154" spans="1:7" x14ac:dyDescent="0.2">
      <c r="A154" s="6">
        <v>43693</v>
      </c>
      <c r="B154" s="16">
        <v>16.046600000000002</v>
      </c>
      <c r="C154" s="30">
        <v>0.82499999999999996</v>
      </c>
      <c r="E154" s="17">
        <f t="shared" si="6"/>
        <v>0.19768972194059198</v>
      </c>
      <c r="F154" s="17">
        <f t="shared" si="7"/>
        <v>0.39761068325924359</v>
      </c>
      <c r="G154" s="17" t="str">
        <f t="shared" si="8"/>
        <v/>
      </c>
    </row>
    <row r="155" spans="1:7" x14ac:dyDescent="0.2">
      <c r="A155" s="6">
        <v>43700</v>
      </c>
      <c r="B155" s="16">
        <v>16.0642</v>
      </c>
      <c r="C155" s="30">
        <v>0.80500000000000005</v>
      </c>
      <c r="E155" s="17">
        <f t="shared" si="6"/>
        <v>0.20428109883239395</v>
      </c>
      <c r="F155" s="17">
        <f t="shared" si="7"/>
        <v>0.42033626922894957</v>
      </c>
      <c r="G155" s="17" t="str">
        <f t="shared" si="8"/>
        <v/>
      </c>
    </row>
    <row r="156" spans="1:7" x14ac:dyDescent="0.2">
      <c r="A156" s="6">
        <v>43707</v>
      </c>
      <c r="B156" s="16">
        <v>16.479900000000001</v>
      </c>
      <c r="C156" s="30">
        <v>1.1399999999999999</v>
      </c>
      <c r="E156" s="17">
        <f t="shared" si="6"/>
        <v>0.35996492689616588</v>
      </c>
      <c r="F156" s="17">
        <f t="shared" si="7"/>
        <v>3.9682704236373094E-2</v>
      </c>
      <c r="G156" s="17" t="str">
        <f t="shared" si="8"/>
        <v/>
      </c>
    </row>
    <row r="157" spans="1:7" x14ac:dyDescent="0.2">
      <c r="A157" s="6">
        <v>43714</v>
      </c>
      <c r="B157" s="16">
        <v>16.365400000000001</v>
      </c>
      <c r="C157" s="30">
        <v>1.1200000000000001</v>
      </c>
      <c r="E157" s="17">
        <f t="shared" si="6"/>
        <v>0.31708352609438145</v>
      </c>
      <c r="F157" s="17">
        <f t="shared" si="7"/>
        <v>6.240829020607893E-2</v>
      </c>
      <c r="G157" s="17" t="str">
        <f t="shared" si="8"/>
        <v/>
      </c>
    </row>
    <row r="158" spans="1:7" x14ac:dyDescent="0.2">
      <c r="A158" s="6">
        <v>43721</v>
      </c>
      <c r="B158" s="16">
        <v>16.422999999999998</v>
      </c>
      <c r="C158" s="30">
        <v>1.0825</v>
      </c>
      <c r="E158" s="17">
        <f t="shared" si="6"/>
        <v>0.33865530501300739</v>
      </c>
      <c r="F158" s="17">
        <f t="shared" si="7"/>
        <v>0.1050187638992779</v>
      </c>
      <c r="G158" s="17" t="str">
        <f t="shared" si="8"/>
        <v/>
      </c>
    </row>
    <row r="159" spans="1:7" x14ac:dyDescent="0.2">
      <c r="A159" s="6">
        <v>43728</v>
      </c>
      <c r="B159" s="16">
        <v>16.211600000000001</v>
      </c>
      <c r="C159" s="30">
        <v>1.0049999999999999</v>
      </c>
      <c r="E159" s="17">
        <f t="shared" si="6"/>
        <v>0.25948388030124192</v>
      </c>
      <c r="F159" s="17">
        <f t="shared" si="7"/>
        <v>0.19308040953188907</v>
      </c>
      <c r="G159" s="17" t="str">
        <f t="shared" si="8"/>
        <v/>
      </c>
    </row>
    <row r="160" spans="1:7" x14ac:dyDescent="0.2">
      <c r="A160" s="6">
        <v>43735</v>
      </c>
      <c r="B160" s="16">
        <v>16.155999999999999</v>
      </c>
      <c r="C160" s="30">
        <v>1.05</v>
      </c>
      <c r="E160" s="17">
        <f t="shared" si="6"/>
        <v>0.23866112148395541</v>
      </c>
      <c r="F160" s="17">
        <f t="shared" si="7"/>
        <v>0.14194784110005024</v>
      </c>
      <c r="G160" s="17" t="str">
        <f t="shared" si="8"/>
        <v/>
      </c>
    </row>
    <row r="161" spans="1:7" x14ac:dyDescent="0.2">
      <c r="A161" s="6">
        <v>43742</v>
      </c>
      <c r="B161" s="16">
        <v>15.744</v>
      </c>
      <c r="C161" s="30">
        <v>1.1475</v>
      </c>
      <c r="E161" s="17">
        <f t="shared" si="6"/>
        <v>8.4362980607665519E-2</v>
      </c>
      <c r="F161" s="17">
        <f t="shared" si="7"/>
        <v>3.1160609497733246E-2</v>
      </c>
      <c r="G161" s="17" t="str">
        <f t="shared" si="8"/>
        <v/>
      </c>
    </row>
    <row r="162" spans="1:7" x14ac:dyDescent="0.2">
      <c r="A162" s="6">
        <v>43749</v>
      </c>
      <c r="B162" s="16">
        <v>15.8414</v>
      </c>
      <c r="C162" s="30">
        <v>1.0149999999999999</v>
      </c>
      <c r="E162" s="17">
        <f t="shared" si="6"/>
        <v>0.12084025954298282</v>
      </c>
      <c r="F162" s="17">
        <f t="shared" si="7"/>
        <v>0.18171761654703603</v>
      </c>
      <c r="G162" s="17" t="str">
        <f t="shared" si="8"/>
        <v/>
      </c>
    </row>
    <row r="163" spans="1:7" x14ac:dyDescent="0.2">
      <c r="A163" s="6">
        <v>43756</v>
      </c>
      <c r="B163" s="16">
        <v>16.419699999999999</v>
      </c>
      <c r="C163" s="30">
        <v>0.99250000000000005</v>
      </c>
      <c r="E163" s="17">
        <f t="shared" si="6"/>
        <v>0.3374194218457946</v>
      </c>
      <c r="F163" s="17">
        <f t="shared" si="7"/>
        <v>0.20728390076295519</v>
      </c>
      <c r="G163" s="17" t="str">
        <f t="shared" si="8"/>
        <v/>
      </c>
    </row>
    <row r="164" spans="1:7" x14ac:dyDescent="0.2">
      <c r="A164" s="6">
        <v>43763</v>
      </c>
      <c r="B164" s="16">
        <v>16.760200000000001</v>
      </c>
      <c r="C164" s="30">
        <v>0.8075</v>
      </c>
      <c r="E164" s="17">
        <f t="shared" si="6"/>
        <v>0.46494009409913728</v>
      </c>
      <c r="F164" s="17">
        <f t="shared" si="7"/>
        <v>0.41749557098273637</v>
      </c>
      <c r="G164" s="17" t="str">
        <f t="shared" si="8"/>
        <v/>
      </c>
    </row>
    <row r="165" spans="1:7" x14ac:dyDescent="0.2">
      <c r="A165" s="6">
        <v>43770</v>
      </c>
      <c r="B165" s="16">
        <v>16.590199999999999</v>
      </c>
      <c r="C165" s="30">
        <v>0.65749999999999997</v>
      </c>
      <c r="E165" s="17">
        <f t="shared" si="6"/>
        <v>0.40127338548513342</v>
      </c>
      <c r="F165" s="17">
        <f t="shared" si="7"/>
        <v>0.58793746575553196</v>
      </c>
      <c r="G165" s="17" t="str">
        <f t="shared" si="8"/>
        <v/>
      </c>
    </row>
    <row r="166" spans="1:7" x14ac:dyDescent="0.2">
      <c r="A166" s="6">
        <v>43777</v>
      </c>
      <c r="B166" s="16">
        <v>16.579499999999999</v>
      </c>
      <c r="C166" s="30">
        <v>0.64500000000000002</v>
      </c>
      <c r="E166" s="17">
        <f t="shared" si="6"/>
        <v>0.3972661279429579</v>
      </c>
      <c r="F166" s="17">
        <f t="shared" si="7"/>
        <v>0.6021409569865982</v>
      </c>
      <c r="G166" s="17" t="str">
        <f t="shared" si="8"/>
        <v/>
      </c>
    </row>
    <row r="167" spans="1:7" x14ac:dyDescent="0.2">
      <c r="A167" s="6">
        <v>43784</v>
      </c>
      <c r="B167" s="16">
        <v>16.509499999999999</v>
      </c>
      <c r="C167" s="30">
        <v>0.66500000000000004</v>
      </c>
      <c r="E167" s="17">
        <f t="shared" si="6"/>
        <v>0.37105042439601527</v>
      </c>
      <c r="F167" s="17">
        <f t="shared" si="7"/>
        <v>0.57941537101689211</v>
      </c>
      <c r="G167" s="17" t="str">
        <f t="shared" si="8"/>
        <v/>
      </c>
    </row>
    <row r="168" spans="1:7" x14ac:dyDescent="0.2">
      <c r="A168" s="6">
        <v>43791</v>
      </c>
      <c r="B168" s="16">
        <v>16.629100000000001</v>
      </c>
      <c r="C168" s="30">
        <v>0.70499999999999996</v>
      </c>
      <c r="E168" s="17">
        <f t="shared" si="6"/>
        <v>0.41584182645622064</v>
      </c>
      <c r="F168" s="17">
        <f t="shared" si="7"/>
        <v>0.53396419907748005</v>
      </c>
      <c r="G168" s="17" t="str">
        <f t="shared" si="8"/>
        <v/>
      </c>
    </row>
    <row r="169" spans="1:7" x14ac:dyDescent="0.2">
      <c r="A169" s="6">
        <v>43798</v>
      </c>
      <c r="B169" s="16">
        <v>16.5426</v>
      </c>
      <c r="C169" s="30">
        <v>0.6</v>
      </c>
      <c r="E169" s="17">
        <f t="shared" si="6"/>
        <v>0.38344670707321277</v>
      </c>
      <c r="F169" s="17">
        <f t="shared" si="7"/>
        <v>0.65327352541843686</v>
      </c>
      <c r="G169" s="17" t="str">
        <f t="shared" si="8"/>
        <v/>
      </c>
    </row>
    <row r="170" spans="1:7" x14ac:dyDescent="0.2">
      <c r="A170" s="6">
        <v>43805</v>
      </c>
      <c r="B170" s="16">
        <v>17.060300000000002</v>
      </c>
      <c r="C170" s="30">
        <v>0.63</v>
      </c>
      <c r="E170" s="17">
        <f t="shared" si="6"/>
        <v>0.57733056030538676</v>
      </c>
      <c r="F170" s="17">
        <f t="shared" si="7"/>
        <v>0.61918514646387768</v>
      </c>
      <c r="G170" s="17" t="str">
        <f t="shared" si="8"/>
        <v/>
      </c>
    </row>
    <row r="171" spans="1:7" x14ac:dyDescent="0.2">
      <c r="A171" s="6">
        <v>43812</v>
      </c>
      <c r="B171" s="16">
        <v>17.089200000000002</v>
      </c>
      <c r="C171" s="30">
        <v>0.60750000000000004</v>
      </c>
      <c r="E171" s="17">
        <f t="shared" si="6"/>
        <v>0.58815390076976737</v>
      </c>
      <c r="F171" s="17">
        <f t="shared" si="7"/>
        <v>0.64475143067979701</v>
      </c>
      <c r="G171" s="17" t="str">
        <f t="shared" si="8"/>
        <v/>
      </c>
    </row>
    <row r="172" spans="1:7" x14ac:dyDescent="0.2">
      <c r="A172" s="6">
        <v>43819</v>
      </c>
      <c r="B172" s="16">
        <v>17.526</v>
      </c>
      <c r="C172" s="30">
        <v>0.53249999999999997</v>
      </c>
      <c r="E172" s="17">
        <f t="shared" si="6"/>
        <v>0.751739890902688</v>
      </c>
      <c r="F172" s="17">
        <f t="shared" si="7"/>
        <v>0.72997237806619486</v>
      </c>
      <c r="G172" s="17" t="str">
        <f t="shared" si="8"/>
        <v/>
      </c>
    </row>
    <row r="173" spans="1:7" x14ac:dyDescent="0.2">
      <c r="A173" s="6">
        <v>43826</v>
      </c>
      <c r="B173" s="16">
        <v>17.359100000000002</v>
      </c>
      <c r="C173" s="30">
        <v>0.51500000000000001</v>
      </c>
      <c r="E173" s="17">
        <f t="shared" si="6"/>
        <v>0.68923416344576427</v>
      </c>
      <c r="F173" s="17">
        <f t="shared" si="7"/>
        <v>0.74985726578968759</v>
      </c>
      <c r="G173" s="17" t="str">
        <f t="shared" si="8"/>
        <v/>
      </c>
    </row>
    <row r="174" spans="1:7" x14ac:dyDescent="0.2">
      <c r="A174" s="6">
        <v>43833</v>
      </c>
      <c r="B174" s="16">
        <v>17.452000000000002</v>
      </c>
      <c r="C174" s="30">
        <v>0.52500000000000002</v>
      </c>
      <c r="E174" s="17">
        <f t="shared" si="6"/>
        <v>0.72402614715306379</v>
      </c>
      <c r="F174" s="17">
        <f t="shared" si="7"/>
        <v>0.7384944728048346</v>
      </c>
      <c r="G174" s="17" t="str">
        <f t="shared" si="8"/>
        <v/>
      </c>
    </row>
    <row r="175" spans="1:7" x14ac:dyDescent="0.2">
      <c r="A175" s="6">
        <v>43840</v>
      </c>
      <c r="B175" s="16">
        <v>17.396999999999998</v>
      </c>
      <c r="C175" s="30">
        <v>0.47749999999999998</v>
      </c>
      <c r="E175" s="17">
        <f t="shared" si="6"/>
        <v>0.70342809436617915</v>
      </c>
      <c r="F175" s="17">
        <f t="shared" si="7"/>
        <v>0.7924677394828864</v>
      </c>
      <c r="G175" s="17" t="str">
        <f t="shared" si="8"/>
        <v/>
      </c>
    </row>
    <row r="176" spans="1:7" x14ac:dyDescent="0.2">
      <c r="A176" s="6">
        <v>43847</v>
      </c>
      <c r="B176" s="16">
        <v>17.630199999999999</v>
      </c>
      <c r="C176" s="30">
        <v>0.38750000000000001</v>
      </c>
      <c r="E176" s="17">
        <f t="shared" si="6"/>
        <v>0.79076383818256479</v>
      </c>
      <c r="F176" s="17">
        <f t="shared" si="7"/>
        <v>0.89473287634656384</v>
      </c>
      <c r="G176" s="17" t="str">
        <f t="shared" si="8"/>
        <v/>
      </c>
    </row>
    <row r="177" spans="1:7" x14ac:dyDescent="0.2">
      <c r="A177" s="6">
        <v>43854</v>
      </c>
      <c r="B177" s="16">
        <v>17.627600000000001</v>
      </c>
      <c r="C177" s="30">
        <v>0.3775</v>
      </c>
      <c r="E177" s="17">
        <f t="shared" si="6"/>
        <v>0.78979011205082217</v>
      </c>
      <c r="F177" s="17">
        <f t="shared" si="7"/>
        <v>0.90609566933141694</v>
      </c>
      <c r="G177" s="17" t="str">
        <f t="shared" si="8"/>
        <v/>
      </c>
    </row>
    <row r="178" spans="1:7" x14ac:dyDescent="0.2">
      <c r="A178" s="6">
        <v>43861</v>
      </c>
      <c r="B178" s="16">
        <v>16.611599999999999</v>
      </c>
      <c r="C178" s="30">
        <v>0.56999999999999995</v>
      </c>
      <c r="E178" s="17">
        <f t="shared" si="6"/>
        <v>0.40928790056948433</v>
      </c>
      <c r="F178" s="17">
        <f t="shared" si="7"/>
        <v>0.68736190437299594</v>
      </c>
      <c r="G178" s="17" t="str">
        <f t="shared" si="8"/>
        <v/>
      </c>
    </row>
    <row r="179" spans="1:7" x14ac:dyDescent="0.2">
      <c r="A179" s="6">
        <v>43868</v>
      </c>
      <c r="B179" s="16">
        <v>16.868400000000001</v>
      </c>
      <c r="C179" s="30">
        <v>0.51</v>
      </c>
      <c r="E179" s="17">
        <f t="shared" si="6"/>
        <v>0.50546208158169703</v>
      </c>
      <c r="F179" s="17">
        <f t="shared" si="7"/>
        <v>0.75553866228211408</v>
      </c>
      <c r="G179" s="17" t="str">
        <f t="shared" si="8"/>
        <v/>
      </c>
    </row>
    <row r="180" spans="1:7" x14ac:dyDescent="0.2">
      <c r="A180" s="6">
        <v>43875</v>
      </c>
      <c r="B180" s="16">
        <v>16.4694</v>
      </c>
      <c r="C180" s="30">
        <v>0.54500000000000004</v>
      </c>
      <c r="E180" s="17">
        <f t="shared" si="6"/>
        <v>0.35603257136412436</v>
      </c>
      <c r="F180" s="17">
        <f t="shared" si="7"/>
        <v>0.71576888683512851</v>
      </c>
      <c r="G180" s="17" t="str">
        <f t="shared" si="8"/>
        <v/>
      </c>
    </row>
    <row r="181" spans="1:7" x14ac:dyDescent="0.2">
      <c r="A181" s="6">
        <v>43882</v>
      </c>
      <c r="B181" s="16">
        <v>16.564900000000002</v>
      </c>
      <c r="C181" s="30">
        <v>0.82499999999999996</v>
      </c>
      <c r="E181" s="17">
        <f t="shared" si="6"/>
        <v>0.39179828120316784</v>
      </c>
      <c r="F181" s="17">
        <f t="shared" si="7"/>
        <v>0.39761068325924359</v>
      </c>
      <c r="G181" s="17" t="str">
        <f t="shared" si="8"/>
        <v/>
      </c>
    </row>
    <row r="182" spans="1:7" x14ac:dyDescent="0.2">
      <c r="A182" s="6">
        <v>43889</v>
      </c>
      <c r="B182" s="16">
        <v>15.2089</v>
      </c>
      <c r="C182" s="30">
        <v>1.4875</v>
      </c>
      <c r="E182" s="17">
        <f t="shared" si="6"/>
        <v>-0.11603734750617649</v>
      </c>
      <c r="F182" s="17">
        <f t="shared" si="7"/>
        <v>-0.35517435198726999</v>
      </c>
      <c r="G182" s="17" t="str">
        <f t="shared" si="8"/>
        <v/>
      </c>
    </row>
    <row r="183" spans="1:7" x14ac:dyDescent="0.2">
      <c r="A183" s="6">
        <v>43896</v>
      </c>
      <c r="B183" s="16">
        <v>15.3279</v>
      </c>
      <c r="C183" s="30">
        <v>2.5150000000000001</v>
      </c>
      <c r="E183" s="17">
        <f t="shared" si="6"/>
        <v>-7.1470651476374297E-2</v>
      </c>
      <c r="F183" s="17">
        <f t="shared" si="7"/>
        <v>-1.5227013311809194</v>
      </c>
      <c r="G183" s="17" t="str">
        <f t="shared" si="8"/>
        <v/>
      </c>
    </row>
    <row r="184" spans="1:7" x14ac:dyDescent="0.2">
      <c r="A184" s="6">
        <v>43903</v>
      </c>
      <c r="B184" s="16">
        <v>13.562799999999999</v>
      </c>
      <c r="C184" s="30">
        <v>3.2450000000000001</v>
      </c>
      <c r="E184" s="17">
        <f t="shared" si="6"/>
        <v>-0.7325183419150636</v>
      </c>
      <c r="F184" s="17">
        <f t="shared" si="7"/>
        <v>-2.3521852190751908</v>
      </c>
      <c r="G184" s="17" t="str">
        <f t="shared" si="8"/>
        <v/>
      </c>
    </row>
    <row r="185" spans="1:7" x14ac:dyDescent="0.2">
      <c r="A185" s="6">
        <v>43910</v>
      </c>
      <c r="B185" s="16">
        <v>11.050800000000001</v>
      </c>
      <c r="C185" s="30">
        <v>6.3525</v>
      </c>
      <c r="E185" s="17">
        <f t="shared" si="6"/>
        <v>-1.6732875891996291</v>
      </c>
      <c r="F185" s="17">
        <f t="shared" si="7"/>
        <v>-5.8831731391182709</v>
      </c>
      <c r="G185" s="17" t="str">
        <f t="shared" si="8"/>
        <v/>
      </c>
    </row>
    <row r="186" spans="1:7" x14ac:dyDescent="0.2">
      <c r="A186" s="6">
        <v>43917</v>
      </c>
      <c r="B186" s="16">
        <v>11.8789</v>
      </c>
      <c r="C186" s="30">
        <v>6.25</v>
      </c>
      <c r="E186" s="17">
        <f t="shared" si="6"/>
        <v>-1.3631558162392994</v>
      </c>
      <c r="F186" s="17">
        <f t="shared" si="7"/>
        <v>-5.7667045110235273</v>
      </c>
      <c r="G186" s="17" t="str">
        <f t="shared" si="8"/>
        <v/>
      </c>
    </row>
    <row r="187" spans="1:7" x14ac:dyDescent="0.2">
      <c r="A187" s="6">
        <v>43924</v>
      </c>
      <c r="B187" s="16">
        <v>12.078200000000001</v>
      </c>
      <c r="C187" s="30">
        <v>6.5350000000000001</v>
      </c>
      <c r="E187" s="17">
        <f t="shared" si="6"/>
        <v>-1.2885159631406469</v>
      </c>
      <c r="F187" s="17">
        <f t="shared" si="7"/>
        <v>-6.0905441110918392</v>
      </c>
      <c r="G187" s="17" t="str">
        <f t="shared" si="8"/>
        <v/>
      </c>
    </row>
    <row r="188" spans="1:7" x14ac:dyDescent="0.2">
      <c r="A188" s="6">
        <v>43931</v>
      </c>
      <c r="B188" s="16">
        <v>12.2126</v>
      </c>
      <c r="C188" s="30">
        <v>5.1524999999999999</v>
      </c>
      <c r="E188" s="17">
        <f t="shared" si="6"/>
        <v>-1.2381818123305175</v>
      </c>
      <c r="F188" s="17">
        <f t="shared" si="7"/>
        <v>-4.5196379809359071</v>
      </c>
      <c r="G188" s="17" t="str">
        <f t="shared" si="8"/>
        <v/>
      </c>
    </row>
    <row r="189" spans="1:7" x14ac:dyDescent="0.2">
      <c r="A189" s="6">
        <v>43938</v>
      </c>
      <c r="B189" s="16">
        <v>12.476900000000001</v>
      </c>
      <c r="C189" s="30">
        <v>6.0149999999999997</v>
      </c>
      <c r="E189" s="17">
        <f t="shared" si="6"/>
        <v>-1.1391988059382758</v>
      </c>
      <c r="F189" s="17">
        <f t="shared" si="7"/>
        <v>-5.4996788758794812</v>
      </c>
      <c r="G189" s="17" t="str">
        <f t="shared" si="8"/>
        <v/>
      </c>
    </row>
    <row r="190" spans="1:7" x14ac:dyDescent="0.2">
      <c r="A190" s="6">
        <v>43945</v>
      </c>
      <c r="B190" s="16">
        <v>12.007300000000001</v>
      </c>
      <c r="C190" s="30">
        <v>4.6500000000000004</v>
      </c>
      <c r="E190" s="17">
        <f t="shared" si="6"/>
        <v>-1.315068725733193</v>
      </c>
      <c r="F190" s="17">
        <f t="shared" si="7"/>
        <v>-3.9486576334470422</v>
      </c>
      <c r="G190" s="17" t="str">
        <f t="shared" si="8"/>
        <v/>
      </c>
    </row>
    <row r="191" spans="1:7" x14ac:dyDescent="0.2">
      <c r="A191" s="6">
        <v>43952</v>
      </c>
      <c r="B191" s="16">
        <v>13.166499999999999</v>
      </c>
      <c r="C191" s="30">
        <v>4.0250000000000004</v>
      </c>
      <c r="E191" s="17">
        <f t="shared" si="6"/>
        <v>-0.8809366749958254</v>
      </c>
      <c r="F191" s="17">
        <f t="shared" si="7"/>
        <v>-3.2384830718937279</v>
      </c>
      <c r="G191" s="17" t="str">
        <f t="shared" si="8"/>
        <v/>
      </c>
    </row>
    <row r="192" spans="1:7" x14ac:dyDescent="0.2">
      <c r="A192" s="6">
        <v>43959</v>
      </c>
      <c r="B192" s="16">
        <v>12.933400000000001</v>
      </c>
      <c r="C192" s="30">
        <v>4.0250000000000004</v>
      </c>
      <c r="E192" s="17">
        <f t="shared" si="6"/>
        <v>-0.96823496780714347</v>
      </c>
      <c r="F192" s="17">
        <f t="shared" si="7"/>
        <v>-3.2384830718937279</v>
      </c>
      <c r="G192" s="17" t="str">
        <f t="shared" si="8"/>
        <v/>
      </c>
    </row>
    <row r="193" spans="1:7" x14ac:dyDescent="0.2">
      <c r="A193" s="6">
        <v>43966</v>
      </c>
      <c r="B193" s="16">
        <v>12.9085</v>
      </c>
      <c r="C193" s="30">
        <v>3.6349999999999998</v>
      </c>
      <c r="E193" s="17">
        <f t="shared" si="6"/>
        <v>-0.97756026806884178</v>
      </c>
      <c r="F193" s="17">
        <f t="shared" si="7"/>
        <v>-2.7953341454844587</v>
      </c>
      <c r="G193" s="17" t="str">
        <f t="shared" si="8"/>
        <v/>
      </c>
    </row>
    <row r="194" spans="1:7" x14ac:dyDescent="0.2">
      <c r="A194" s="6">
        <v>43973</v>
      </c>
      <c r="B194" s="16">
        <v>13.736000000000001</v>
      </c>
      <c r="C194" s="30">
        <v>3.8925000000000001</v>
      </c>
      <c r="E194" s="17">
        <f t="shared" si="6"/>
        <v>-0.66765320113891391</v>
      </c>
      <c r="F194" s="17">
        <f t="shared" si="7"/>
        <v>-3.0879260648444249</v>
      </c>
      <c r="G194" s="17" t="str">
        <f t="shared" si="8"/>
        <v/>
      </c>
    </row>
    <row r="195" spans="1:7" x14ac:dyDescent="0.2">
      <c r="A195" s="6">
        <v>43980</v>
      </c>
      <c r="B195" s="16">
        <v>15.4057</v>
      </c>
      <c r="C195" s="30">
        <v>3.8050000000000002</v>
      </c>
      <c r="E195" s="17">
        <f t="shared" si="6"/>
        <v>-4.2333769534201086E-2</v>
      </c>
      <c r="F195" s="17">
        <f t="shared" si="7"/>
        <v>-2.9885016262269608</v>
      </c>
      <c r="G195" s="17" t="str">
        <f t="shared" si="8"/>
        <v/>
      </c>
    </row>
    <row r="196" spans="1:7" x14ac:dyDescent="0.2">
      <c r="A196" s="6">
        <v>43987</v>
      </c>
      <c r="B196" s="16">
        <v>16.7347</v>
      </c>
      <c r="C196" s="30">
        <v>2.835</v>
      </c>
      <c r="E196" s="17">
        <f t="shared" si="6"/>
        <v>0.45539008780703644</v>
      </c>
      <c r="F196" s="17">
        <f t="shared" si="7"/>
        <v>-1.8863107066962164</v>
      </c>
      <c r="G196" s="17" t="str">
        <f t="shared" si="8"/>
        <v/>
      </c>
    </row>
    <row r="197" spans="1:7" x14ac:dyDescent="0.2">
      <c r="A197" s="6">
        <v>43994</v>
      </c>
      <c r="B197" s="16">
        <v>17.384599999999999</v>
      </c>
      <c r="C197" s="30">
        <v>2.9275000000000002</v>
      </c>
      <c r="E197" s="17">
        <f t="shared" si="6"/>
        <v>0.69878416973786373</v>
      </c>
      <c r="F197" s="17">
        <f t="shared" si="7"/>
        <v>-1.9914165418061072</v>
      </c>
      <c r="G197" s="17" t="str">
        <f t="shared" si="8"/>
        <v/>
      </c>
    </row>
    <row r="198" spans="1:7" x14ac:dyDescent="0.2">
      <c r="A198" s="6">
        <v>44001</v>
      </c>
      <c r="B198" s="16">
        <v>18.033899999999999</v>
      </c>
      <c r="C198" s="30">
        <v>3.33</v>
      </c>
      <c r="E198" s="17">
        <f t="shared" ref="E198:E261" si="9">IF(ISNUMBER(B198),(B198-$J$6)/$J$7,"")</f>
        <v>0.94195354563828926</v>
      </c>
      <c r="F198" s="17">
        <f t="shared" ref="F198:F261" si="10">IF(ISNUMBER(C198),-(C198-$J$8)/$J$9,"")</f>
        <v>-2.4487689594464417</v>
      </c>
      <c r="G198" s="17" t="str">
        <f t="shared" ref="G198:G261" si="11">IF(ISNUMBER(D198),-(D198-$J$10)/$J$11,"")</f>
        <v/>
      </c>
    </row>
    <row r="199" spans="1:7" x14ac:dyDescent="0.2">
      <c r="A199" s="6">
        <v>44008</v>
      </c>
      <c r="B199" s="16">
        <v>18.552700000000002</v>
      </c>
      <c r="C199" s="30">
        <v>2.835</v>
      </c>
      <c r="E199" s="17">
        <f t="shared" si="9"/>
        <v>1.1362493599262014</v>
      </c>
      <c r="F199" s="17">
        <f t="shared" si="10"/>
        <v>-1.8863107066962164</v>
      </c>
      <c r="G199" s="17" t="str">
        <f t="shared" si="11"/>
        <v/>
      </c>
    </row>
    <row r="200" spans="1:7" x14ac:dyDescent="0.2">
      <c r="A200" s="6">
        <v>44015</v>
      </c>
      <c r="B200" s="16">
        <v>18.8521</v>
      </c>
      <c r="C200" s="30">
        <v>2.9275000000000002</v>
      </c>
      <c r="E200" s="17">
        <f t="shared" si="9"/>
        <v>1.2483776690969806</v>
      </c>
      <c r="F200" s="17">
        <f t="shared" si="10"/>
        <v>-1.9914165418061072</v>
      </c>
      <c r="G200" s="17" t="str">
        <f t="shared" si="11"/>
        <v/>
      </c>
    </row>
    <row r="201" spans="1:7" x14ac:dyDescent="0.2">
      <c r="A201" s="6">
        <v>44022</v>
      </c>
      <c r="B201" s="16">
        <v>19.019300000000001</v>
      </c>
      <c r="C201" s="30">
        <v>2.29</v>
      </c>
      <c r="E201" s="17">
        <f t="shared" si="9"/>
        <v>1.3109957495691067</v>
      </c>
      <c r="F201" s="17">
        <f t="shared" si="10"/>
        <v>-1.2670384890217259</v>
      </c>
      <c r="G201" s="17" t="str">
        <f t="shared" si="11"/>
        <v/>
      </c>
    </row>
    <row r="202" spans="1:7" x14ac:dyDescent="0.2">
      <c r="A202" s="6">
        <v>44029</v>
      </c>
      <c r="B202" s="16">
        <v>19.245699999999999</v>
      </c>
      <c r="C202" s="30">
        <v>2.27</v>
      </c>
      <c r="E202" s="17">
        <f t="shared" si="9"/>
        <v>1.3957848250409315</v>
      </c>
      <c r="F202" s="17">
        <f t="shared" si="10"/>
        <v>-1.2443129030520199</v>
      </c>
      <c r="G202" s="17" t="str">
        <f t="shared" si="11"/>
        <v/>
      </c>
    </row>
    <row r="203" spans="1:7" x14ac:dyDescent="0.2">
      <c r="A203" s="6">
        <v>44036</v>
      </c>
      <c r="B203" s="16">
        <v>19.180599999999998</v>
      </c>
      <c r="C203" s="30">
        <v>2.2400000000000002</v>
      </c>
      <c r="E203" s="17">
        <f t="shared" si="9"/>
        <v>1.3714042207422745</v>
      </c>
      <c r="F203" s="17">
        <f t="shared" si="10"/>
        <v>-1.210224524097461</v>
      </c>
      <c r="G203" s="17" t="str">
        <f t="shared" si="11"/>
        <v/>
      </c>
    </row>
    <row r="204" spans="1:7" x14ac:dyDescent="0.2">
      <c r="A204" s="6">
        <v>44043</v>
      </c>
      <c r="B204" s="16">
        <v>19.676300000000001</v>
      </c>
      <c r="C204" s="30">
        <v>2.04</v>
      </c>
      <c r="E204" s="17">
        <f t="shared" si="9"/>
        <v>1.5570488528596957</v>
      </c>
      <c r="F204" s="17">
        <f t="shared" si="10"/>
        <v>-0.98296866440040009</v>
      </c>
      <c r="G204" s="17" t="str">
        <f t="shared" si="11"/>
        <v/>
      </c>
    </row>
    <row r="205" spans="1:7" x14ac:dyDescent="0.2">
      <c r="A205" s="6">
        <v>44050</v>
      </c>
      <c r="B205" s="16">
        <v>19.797000000000001</v>
      </c>
      <c r="C205" s="30">
        <v>2.09</v>
      </c>
      <c r="E205" s="17">
        <f t="shared" si="9"/>
        <v>1.6022522159756378</v>
      </c>
      <c r="F205" s="17">
        <f t="shared" si="10"/>
        <v>-1.039782629324665</v>
      </c>
      <c r="G205" s="17" t="str">
        <f t="shared" si="11"/>
        <v/>
      </c>
    </row>
    <row r="206" spans="1:7" x14ac:dyDescent="0.2">
      <c r="A206" s="6">
        <v>44057</v>
      </c>
      <c r="B206" s="16">
        <v>20.519600000000001</v>
      </c>
      <c r="C206" s="30">
        <v>2.2925</v>
      </c>
      <c r="E206" s="17">
        <f t="shared" si="9"/>
        <v>1.8728731785902186</v>
      </c>
      <c r="F206" s="17">
        <f t="shared" si="10"/>
        <v>-1.2698791872679391</v>
      </c>
      <c r="G206" s="17" t="str">
        <f t="shared" si="11"/>
        <v/>
      </c>
    </row>
    <row r="207" spans="1:7" x14ac:dyDescent="0.2">
      <c r="A207" s="6">
        <v>44064</v>
      </c>
      <c r="B207" s="16">
        <v>20.749300000000002</v>
      </c>
      <c r="C207" s="30">
        <v>2.16</v>
      </c>
      <c r="E207" s="17">
        <f t="shared" si="9"/>
        <v>1.9588981372292575</v>
      </c>
      <c r="F207" s="17">
        <f t="shared" si="10"/>
        <v>-1.1193221802186366</v>
      </c>
      <c r="G207" s="17" t="str">
        <f t="shared" si="11"/>
        <v/>
      </c>
    </row>
    <row r="208" spans="1:7" x14ac:dyDescent="0.2">
      <c r="A208" s="6">
        <v>44071</v>
      </c>
      <c r="B208" s="16">
        <v>21.133900000000001</v>
      </c>
      <c r="C208" s="30">
        <v>2.1349999999999998</v>
      </c>
      <c r="E208" s="17">
        <f t="shared" si="9"/>
        <v>2.1029347027171728</v>
      </c>
      <c r="F208" s="17">
        <f t="shared" si="10"/>
        <v>-1.0909151977565037</v>
      </c>
      <c r="G208" s="17" t="str">
        <f t="shared" si="11"/>
        <v/>
      </c>
    </row>
    <row r="209" spans="1:7" x14ac:dyDescent="0.2">
      <c r="A209" s="6">
        <v>44078</v>
      </c>
      <c r="B209" s="16">
        <v>20.571400000000001</v>
      </c>
      <c r="C209" s="30">
        <v>2.3050000000000002</v>
      </c>
      <c r="E209" s="17">
        <f t="shared" si="9"/>
        <v>1.8922727992149562</v>
      </c>
      <c r="F209" s="17">
        <f t="shared" si="10"/>
        <v>-1.2840826784990056</v>
      </c>
      <c r="G209" s="17" t="str">
        <f t="shared" si="11"/>
        <v/>
      </c>
    </row>
    <row r="210" spans="1:7" x14ac:dyDescent="0.2">
      <c r="A210" s="6">
        <v>44085</v>
      </c>
      <c r="B210" s="16">
        <v>19.157800000000002</v>
      </c>
      <c r="C210" s="30">
        <v>2.5724999999999998</v>
      </c>
      <c r="E210" s="17">
        <f t="shared" si="9"/>
        <v>1.3628653915869859</v>
      </c>
      <c r="F210" s="17">
        <f t="shared" si="10"/>
        <v>-1.5880373908438239</v>
      </c>
      <c r="G210" s="17" t="str">
        <f t="shared" si="11"/>
        <v/>
      </c>
    </row>
    <row r="211" spans="1:7" x14ac:dyDescent="0.2">
      <c r="A211" s="6">
        <v>44092</v>
      </c>
      <c r="B211" s="16">
        <v>19.135999999999999</v>
      </c>
      <c r="C211" s="30">
        <v>2.17</v>
      </c>
      <c r="E211" s="17">
        <f t="shared" si="9"/>
        <v>1.3547010724823658</v>
      </c>
      <c r="F211" s="17">
        <f t="shared" si="10"/>
        <v>-1.1306849732034894</v>
      </c>
      <c r="G211" s="17" t="str">
        <f t="shared" si="11"/>
        <v/>
      </c>
    </row>
    <row r="212" spans="1:7" x14ac:dyDescent="0.2">
      <c r="A212" s="6">
        <v>44099</v>
      </c>
      <c r="B212" s="16">
        <v>18.481300000000001</v>
      </c>
      <c r="C212" s="30">
        <v>3.0024999999999999</v>
      </c>
      <c r="E212" s="17">
        <f t="shared" si="9"/>
        <v>1.1095093423083198</v>
      </c>
      <c r="F212" s="17">
        <f t="shared" si="10"/>
        <v>-2.0766374891925046</v>
      </c>
      <c r="G212" s="17" t="str">
        <f t="shared" si="11"/>
        <v/>
      </c>
    </row>
    <row r="213" spans="1:7" x14ac:dyDescent="0.2">
      <c r="A213" s="6">
        <v>44106</v>
      </c>
      <c r="B213" s="16">
        <v>18.203099999999999</v>
      </c>
      <c r="C213" s="30">
        <v>2.79</v>
      </c>
      <c r="E213" s="17">
        <f t="shared" si="9"/>
        <v>1.0053206462117561</v>
      </c>
      <c r="F213" s="17">
        <f t="shared" si="10"/>
        <v>-1.8351781382643777</v>
      </c>
      <c r="G213" s="17" t="str">
        <f t="shared" si="11"/>
        <v/>
      </c>
    </row>
    <row r="214" spans="1:7" x14ac:dyDescent="0.2">
      <c r="A214" s="6">
        <v>44113</v>
      </c>
      <c r="B214" s="16">
        <v>18.755299999999998</v>
      </c>
      <c r="C214" s="30">
        <v>2.4424999999999999</v>
      </c>
      <c r="E214" s="17">
        <f t="shared" si="9"/>
        <v>1.2121250961920651</v>
      </c>
      <c r="F214" s="17">
        <f t="shared" si="10"/>
        <v>-1.4403210820407346</v>
      </c>
      <c r="G214" s="17" t="str">
        <f t="shared" si="11"/>
        <v/>
      </c>
    </row>
    <row r="215" spans="1:7" x14ac:dyDescent="0.2">
      <c r="A215" s="6">
        <v>44120</v>
      </c>
      <c r="B215" s="16">
        <v>18.9087</v>
      </c>
      <c r="C215" s="30">
        <v>2.6675</v>
      </c>
      <c r="E215" s="17">
        <f t="shared" si="9"/>
        <v>1.2695749379649368</v>
      </c>
      <c r="F215" s="17">
        <f t="shared" si="10"/>
        <v>-1.6959839241999279</v>
      </c>
      <c r="G215" s="17" t="str">
        <f t="shared" si="11"/>
        <v/>
      </c>
    </row>
    <row r="216" spans="1:7" x14ac:dyDescent="0.2">
      <c r="A216" s="6">
        <v>44127</v>
      </c>
      <c r="B216" s="16">
        <v>19.027699999999999</v>
      </c>
      <c r="C216" s="30">
        <v>2.2000000000000002</v>
      </c>
      <c r="E216" s="17">
        <f t="shared" si="9"/>
        <v>1.3141416339947389</v>
      </c>
      <c r="F216" s="17">
        <f t="shared" si="10"/>
        <v>-1.1647733521580488</v>
      </c>
      <c r="G216" s="17" t="str">
        <f t="shared" si="11"/>
        <v/>
      </c>
    </row>
    <row r="217" spans="1:7" x14ac:dyDescent="0.2">
      <c r="A217" s="6">
        <v>44134</v>
      </c>
      <c r="B217" s="16">
        <v>18.923200000000001</v>
      </c>
      <c r="C217" s="30">
        <v>2.145</v>
      </c>
      <c r="E217" s="17">
        <f t="shared" si="9"/>
        <v>1.2750053336996614</v>
      </c>
      <c r="F217" s="17">
        <f t="shared" si="10"/>
        <v>-1.1022779907413569</v>
      </c>
      <c r="G217" s="17" t="str">
        <f t="shared" si="11"/>
        <v/>
      </c>
    </row>
    <row r="218" spans="1:7" x14ac:dyDescent="0.2">
      <c r="A218" s="6">
        <v>44141</v>
      </c>
      <c r="B218" s="16">
        <v>20.447600000000001</v>
      </c>
      <c r="C218" s="30">
        <v>2.1800000000000002</v>
      </c>
      <c r="E218" s="17">
        <f t="shared" si="9"/>
        <v>1.8459084549419353</v>
      </c>
      <c r="F218" s="17">
        <f t="shared" si="10"/>
        <v>-1.1420477661883428</v>
      </c>
      <c r="G218" s="17" t="str">
        <f t="shared" si="11"/>
        <v/>
      </c>
    </row>
    <row r="219" spans="1:7" x14ac:dyDescent="0.2">
      <c r="A219" s="6">
        <v>44148</v>
      </c>
      <c r="B219" s="16">
        <v>21.128399999999999</v>
      </c>
      <c r="C219" s="30">
        <v>2.0924999999999998</v>
      </c>
      <c r="E219" s="17">
        <f t="shared" si="9"/>
        <v>2.1008748974384841</v>
      </c>
      <c r="F219" s="17">
        <f t="shared" si="10"/>
        <v>-1.0426233275708783</v>
      </c>
      <c r="G219" s="17" t="str">
        <f t="shared" si="11"/>
        <v/>
      </c>
    </row>
    <row r="220" spans="1:7" x14ac:dyDescent="0.2">
      <c r="A220" s="6">
        <v>44155</v>
      </c>
      <c r="B220" s="16">
        <v>21.3504</v>
      </c>
      <c r="C220" s="30">
        <v>1.89</v>
      </c>
      <c r="E220" s="17">
        <f t="shared" si="9"/>
        <v>2.1840161286873592</v>
      </c>
      <c r="F220" s="17">
        <f t="shared" si="10"/>
        <v>-0.81252676962760451</v>
      </c>
      <c r="G220" s="17" t="str">
        <f t="shared" si="11"/>
        <v/>
      </c>
    </row>
    <row r="221" spans="1:7" x14ac:dyDescent="0.2">
      <c r="A221" s="6">
        <v>44162</v>
      </c>
      <c r="B221" s="16">
        <v>21.861799999999999</v>
      </c>
      <c r="C221" s="30">
        <v>1.6074999999999999</v>
      </c>
      <c r="E221" s="17">
        <f t="shared" si="9"/>
        <v>2.3755405686003073</v>
      </c>
      <c r="F221" s="17">
        <f t="shared" si="10"/>
        <v>-0.49152786780550628</v>
      </c>
      <c r="G221" s="17" t="str">
        <f t="shared" si="11"/>
        <v/>
      </c>
    </row>
    <row r="222" spans="1:7" x14ac:dyDescent="0.2">
      <c r="A222" s="6">
        <v>44169</v>
      </c>
      <c r="B222" s="16">
        <v>22.003</v>
      </c>
      <c r="C222" s="30">
        <v>1.4650000000000001</v>
      </c>
      <c r="E222" s="17">
        <f t="shared" si="9"/>
        <v>2.4284213877549976</v>
      </c>
      <c r="F222" s="17">
        <f t="shared" si="10"/>
        <v>-0.32960806777135071</v>
      </c>
      <c r="G222" s="17" t="str">
        <f t="shared" si="11"/>
        <v/>
      </c>
    </row>
    <row r="223" spans="1:7" x14ac:dyDescent="0.2">
      <c r="A223" s="6">
        <v>44176</v>
      </c>
      <c r="B223" s="16">
        <v>22.422999999999998</v>
      </c>
      <c r="C223" s="30">
        <v>1.43</v>
      </c>
      <c r="E223" s="17">
        <f t="shared" si="9"/>
        <v>2.5857156090366522</v>
      </c>
      <c r="F223" s="17">
        <f t="shared" si="10"/>
        <v>-0.28983829232436492</v>
      </c>
      <c r="G223" s="17" t="str">
        <f t="shared" si="11"/>
        <v/>
      </c>
    </row>
    <row r="224" spans="1:7" x14ac:dyDescent="0.2">
      <c r="A224" s="6">
        <v>44183</v>
      </c>
      <c r="B224" s="16">
        <v>22.989799999999999</v>
      </c>
      <c r="C224" s="30">
        <v>1.415</v>
      </c>
      <c r="E224" s="17">
        <f t="shared" si="9"/>
        <v>2.7979879057567527</v>
      </c>
      <c r="F224" s="17">
        <f t="shared" si="10"/>
        <v>-0.2727941028470855</v>
      </c>
      <c r="G224" s="17" t="str">
        <f t="shared" si="11"/>
        <v/>
      </c>
    </row>
    <row r="225" spans="1:7" x14ac:dyDescent="0.2">
      <c r="A225" s="6">
        <v>44190</v>
      </c>
      <c r="B225" s="16">
        <v>22.363900000000001</v>
      </c>
      <c r="C225" s="30">
        <v>1.43</v>
      </c>
      <c r="E225" s="17">
        <f t="shared" si="9"/>
        <v>2.56358206504202</v>
      </c>
      <c r="F225" s="17">
        <f t="shared" si="10"/>
        <v>-0.28983829232436492</v>
      </c>
      <c r="G225" s="17" t="str">
        <f t="shared" si="11"/>
        <v/>
      </c>
    </row>
    <row r="226" spans="1:7" x14ac:dyDescent="0.2">
      <c r="A226" s="6">
        <v>44197</v>
      </c>
      <c r="B226" s="16">
        <v>22.257000000000001</v>
      </c>
      <c r="C226" s="30">
        <v>1.3625</v>
      </c>
      <c r="E226" s="17">
        <f t="shared" si="9"/>
        <v>2.5235469406253324</v>
      </c>
      <c r="F226" s="17">
        <f t="shared" si="10"/>
        <v>-0.21313943967660709</v>
      </c>
      <c r="G226" s="17" t="str">
        <f t="shared" si="11"/>
        <v/>
      </c>
    </row>
    <row r="227" spans="1:7" x14ac:dyDescent="0.2">
      <c r="A227" s="6">
        <v>44204</v>
      </c>
      <c r="B227" s="16">
        <v>23.235600000000002</v>
      </c>
      <c r="C227" s="30">
        <v>1.59</v>
      </c>
      <c r="E227" s="17">
        <f t="shared" si="9"/>
        <v>2.8900424762115891</v>
      </c>
      <c r="F227" s="17">
        <f t="shared" si="10"/>
        <v>-0.47164298008201366</v>
      </c>
      <c r="G227" s="17" t="str">
        <f t="shared" si="11"/>
        <v/>
      </c>
    </row>
    <row r="228" spans="1:7" x14ac:dyDescent="0.2">
      <c r="A228" s="6">
        <v>44211</v>
      </c>
      <c r="B228" s="16">
        <v>23.386199999999999</v>
      </c>
      <c r="C228" s="30">
        <v>1.835</v>
      </c>
      <c r="E228" s="17">
        <f t="shared" si="9"/>
        <v>2.9464436898425812</v>
      </c>
      <c r="F228" s="17">
        <f t="shared" si="10"/>
        <v>-0.75003140821091285</v>
      </c>
      <c r="G228" s="17" t="str">
        <f t="shared" si="11"/>
        <v/>
      </c>
    </row>
    <row r="229" spans="1:7" x14ac:dyDescent="0.2">
      <c r="A229" s="6">
        <v>44218</v>
      </c>
      <c r="B229" s="16">
        <v>23.5303</v>
      </c>
      <c r="C229" s="30">
        <v>1.83</v>
      </c>
      <c r="E229" s="17">
        <f t="shared" si="9"/>
        <v>3.0004105881442165</v>
      </c>
      <c r="F229" s="17">
        <f t="shared" si="10"/>
        <v>-0.74435001171848647</v>
      </c>
      <c r="G229" s="17" t="str">
        <f t="shared" si="11"/>
        <v/>
      </c>
    </row>
    <row r="230" spans="1:7" x14ac:dyDescent="0.2">
      <c r="A230" s="6">
        <v>44225</v>
      </c>
      <c r="B230" s="16">
        <v>21.755500000000001</v>
      </c>
      <c r="C230" s="30">
        <v>1.71</v>
      </c>
      <c r="E230" s="17">
        <f t="shared" si="9"/>
        <v>2.3357301502140229</v>
      </c>
      <c r="F230" s="17">
        <f t="shared" si="10"/>
        <v>-0.60799649590024996</v>
      </c>
      <c r="G230" s="17" t="str">
        <f t="shared" si="11"/>
        <v/>
      </c>
    </row>
    <row r="231" spans="1:7" x14ac:dyDescent="0.2">
      <c r="A231" s="6">
        <v>44232</v>
      </c>
      <c r="B231" s="16">
        <v>22.799399999999999</v>
      </c>
      <c r="C231" s="30">
        <v>1.425</v>
      </c>
      <c r="E231" s="17">
        <f t="shared" si="9"/>
        <v>2.7266811921090688</v>
      </c>
      <c r="F231" s="17">
        <f t="shared" si="10"/>
        <v>-0.28415689583193854</v>
      </c>
      <c r="G231" s="17" t="str">
        <f t="shared" si="11"/>
        <v/>
      </c>
    </row>
    <row r="232" spans="1:7" x14ac:dyDescent="0.2">
      <c r="A232" s="6">
        <v>44239</v>
      </c>
      <c r="B232" s="16">
        <v>22.503699999999998</v>
      </c>
      <c r="C232" s="30">
        <v>1.4075</v>
      </c>
      <c r="E232" s="17">
        <f t="shared" si="9"/>
        <v>2.61593857012577</v>
      </c>
      <c r="F232" s="17">
        <f t="shared" si="10"/>
        <v>-0.26427200810844564</v>
      </c>
      <c r="G232" s="17" t="str">
        <f t="shared" si="11"/>
        <v/>
      </c>
    </row>
    <row r="233" spans="1:7" x14ac:dyDescent="0.2">
      <c r="A233" s="6">
        <v>44246</v>
      </c>
      <c r="B233" s="16">
        <v>22.404900000000001</v>
      </c>
      <c r="C233" s="30">
        <v>1.36</v>
      </c>
      <c r="E233" s="17">
        <f t="shared" si="9"/>
        <v>2.5789369771195152</v>
      </c>
      <c r="F233" s="17">
        <f t="shared" si="10"/>
        <v>-0.21029874143039387</v>
      </c>
      <c r="G233" s="17" t="str">
        <f t="shared" si="11"/>
        <v/>
      </c>
    </row>
    <row r="234" spans="1:7" x14ac:dyDescent="0.2">
      <c r="A234" s="6">
        <v>44253</v>
      </c>
      <c r="B234" s="16">
        <v>22.2621</v>
      </c>
      <c r="C234" s="30">
        <v>1.6575</v>
      </c>
      <c r="E234" s="17">
        <f t="shared" si="9"/>
        <v>2.525456941883752</v>
      </c>
      <c r="F234" s="17">
        <f t="shared" si="10"/>
        <v>-0.54834183272977155</v>
      </c>
      <c r="G234" s="17" t="str">
        <f t="shared" si="11"/>
        <v/>
      </c>
    </row>
    <row r="235" spans="1:7" x14ac:dyDescent="0.2">
      <c r="A235" s="6">
        <v>44260</v>
      </c>
      <c r="B235" s="16">
        <v>22.075299999999999</v>
      </c>
      <c r="C235" s="30">
        <v>1.5149999999999999</v>
      </c>
      <c r="E235" s="17">
        <f t="shared" si="9"/>
        <v>2.4554984644184819</v>
      </c>
      <c r="F235" s="17">
        <f t="shared" si="10"/>
        <v>-0.3864220326956157</v>
      </c>
      <c r="G235" s="17" t="str">
        <f t="shared" si="11"/>
        <v/>
      </c>
    </row>
    <row r="236" spans="1:7" x14ac:dyDescent="0.2">
      <c r="A236" s="6">
        <v>44267</v>
      </c>
      <c r="B236" s="16">
        <v>22.221599999999999</v>
      </c>
      <c r="C236" s="30">
        <v>1.6850000000000001</v>
      </c>
      <c r="E236" s="17">
        <f t="shared" si="9"/>
        <v>2.5102892848315919</v>
      </c>
      <c r="F236" s="17">
        <f t="shared" si="10"/>
        <v>-0.57958951343811749</v>
      </c>
      <c r="G236" s="17" t="str">
        <f t="shared" si="11"/>
        <v/>
      </c>
    </row>
    <row r="237" spans="1:7" x14ac:dyDescent="0.2">
      <c r="A237" s="6">
        <v>44274</v>
      </c>
      <c r="B237" s="16">
        <v>22.379200000000001</v>
      </c>
      <c r="C237" s="30">
        <v>1.68</v>
      </c>
      <c r="E237" s="17">
        <f t="shared" si="9"/>
        <v>2.5693120688172804</v>
      </c>
      <c r="F237" s="17">
        <f t="shared" si="10"/>
        <v>-0.57390811694569077</v>
      </c>
      <c r="G237" s="17" t="str">
        <f t="shared" si="11"/>
        <v/>
      </c>
    </row>
    <row r="238" spans="1:7" x14ac:dyDescent="0.2">
      <c r="A238" s="6">
        <v>44281</v>
      </c>
      <c r="B238" s="16">
        <v>21.652100000000001</v>
      </c>
      <c r="C238" s="30">
        <v>1.6875</v>
      </c>
      <c r="E238" s="17">
        <f t="shared" si="9"/>
        <v>2.2970058109746816</v>
      </c>
      <c r="F238" s="17">
        <f t="shared" si="10"/>
        <v>-0.58243021168433062</v>
      </c>
      <c r="G238" s="17" t="str">
        <f t="shared" si="11"/>
        <v/>
      </c>
    </row>
    <row r="239" spans="1:7" x14ac:dyDescent="0.2">
      <c r="A239" s="6">
        <v>44288</v>
      </c>
      <c r="B239" s="16">
        <v>16.406500000000001</v>
      </c>
      <c r="C239" s="30">
        <v>1.635</v>
      </c>
      <c r="E239" s="17">
        <f t="shared" si="9"/>
        <v>0.33247588917694348</v>
      </c>
      <c r="F239" s="17">
        <f t="shared" si="10"/>
        <v>-0.52277554851385222</v>
      </c>
      <c r="G239" s="17" t="str">
        <f t="shared" si="11"/>
        <v/>
      </c>
    </row>
    <row r="240" spans="1:7" x14ac:dyDescent="0.2">
      <c r="A240" s="6">
        <v>44295</v>
      </c>
      <c r="B240" s="16">
        <v>16.4925</v>
      </c>
      <c r="C240" s="30">
        <v>1.615</v>
      </c>
      <c r="E240" s="17">
        <f t="shared" si="9"/>
        <v>0.36468375353461518</v>
      </c>
      <c r="F240" s="17">
        <f t="shared" si="10"/>
        <v>-0.50004996254414613</v>
      </c>
      <c r="G240" s="17" t="str">
        <f t="shared" si="11"/>
        <v/>
      </c>
    </row>
    <row r="241" spans="1:7" x14ac:dyDescent="0.2">
      <c r="A241" s="6">
        <v>44302</v>
      </c>
      <c r="B241" s="16">
        <v>16.542400000000001</v>
      </c>
      <c r="C241" s="30">
        <v>1.585</v>
      </c>
      <c r="E241" s="17">
        <f t="shared" si="9"/>
        <v>0.38337180506307883</v>
      </c>
      <c r="F241" s="17">
        <f t="shared" si="10"/>
        <v>-0.465961583589587</v>
      </c>
      <c r="G241" s="17" t="str">
        <f t="shared" si="11"/>
        <v/>
      </c>
    </row>
    <row r="242" spans="1:7" x14ac:dyDescent="0.2">
      <c r="A242" s="6">
        <v>44309</v>
      </c>
      <c r="B242" s="16">
        <v>16.4832</v>
      </c>
      <c r="C242" s="30">
        <v>1.5049999999999999</v>
      </c>
      <c r="E242" s="17">
        <f t="shared" si="9"/>
        <v>0.36120081006337867</v>
      </c>
      <c r="F242" s="17">
        <f t="shared" si="10"/>
        <v>-0.37505923971076266</v>
      </c>
      <c r="G242" s="17" t="str">
        <f t="shared" si="11"/>
        <v/>
      </c>
    </row>
    <row r="243" spans="1:7" x14ac:dyDescent="0.2">
      <c r="A243" s="6">
        <v>44316</v>
      </c>
      <c r="B243" s="16">
        <v>16.269100000000002</v>
      </c>
      <c r="C243" s="30">
        <v>1.48</v>
      </c>
      <c r="E243" s="17">
        <f t="shared" si="9"/>
        <v>0.28101820821480217</v>
      </c>
      <c r="F243" s="17">
        <f t="shared" si="10"/>
        <v>-0.34665225724863014</v>
      </c>
      <c r="G243" s="17" t="str">
        <f t="shared" si="11"/>
        <v/>
      </c>
    </row>
    <row r="244" spans="1:7" x14ac:dyDescent="0.2">
      <c r="A244" s="6">
        <v>44323</v>
      </c>
      <c r="B244" s="16">
        <v>16.0321</v>
      </c>
      <c r="C244" s="30">
        <v>1.4</v>
      </c>
      <c r="E244" s="17">
        <f t="shared" si="9"/>
        <v>0.19225932620586753</v>
      </c>
      <c r="F244" s="17">
        <f t="shared" si="10"/>
        <v>-0.25574991336980579</v>
      </c>
      <c r="G244" s="17" t="str">
        <f t="shared" si="11"/>
        <v/>
      </c>
    </row>
    <row r="245" spans="1:7" x14ac:dyDescent="0.2">
      <c r="A245" s="6">
        <v>44330</v>
      </c>
      <c r="B245" s="16">
        <v>16.139700000000001</v>
      </c>
      <c r="C245" s="30">
        <v>1.36</v>
      </c>
      <c r="E245" s="17">
        <f t="shared" si="9"/>
        <v>0.23255660765802544</v>
      </c>
      <c r="F245" s="17">
        <f t="shared" si="10"/>
        <v>-0.21029874143039387</v>
      </c>
      <c r="G245" s="17" t="str">
        <f t="shared" si="11"/>
        <v/>
      </c>
    </row>
    <row r="246" spans="1:7" x14ac:dyDescent="0.2">
      <c r="A246" s="6">
        <v>44337</v>
      </c>
      <c r="B246" s="16">
        <v>15.912100000000001</v>
      </c>
      <c r="C246" s="30">
        <v>1.4524999999999999</v>
      </c>
      <c r="E246" s="17">
        <f t="shared" si="9"/>
        <v>0.14731812012539494</v>
      </c>
      <c r="F246" s="17">
        <f t="shared" si="10"/>
        <v>-0.3154045765402842</v>
      </c>
      <c r="G246" s="17" t="str">
        <f t="shared" si="11"/>
        <v/>
      </c>
    </row>
    <row r="247" spans="1:7" x14ac:dyDescent="0.2">
      <c r="A247" s="6">
        <v>44344</v>
      </c>
      <c r="B247" s="16">
        <v>16.372499999999999</v>
      </c>
      <c r="C247" s="30">
        <v>1.42</v>
      </c>
      <c r="E247" s="17">
        <f t="shared" si="9"/>
        <v>0.31974254745414188</v>
      </c>
      <c r="F247" s="17">
        <f t="shared" si="10"/>
        <v>-0.27847549933951188</v>
      </c>
      <c r="G247" s="17" t="str">
        <f t="shared" si="11"/>
        <v/>
      </c>
    </row>
    <row r="248" spans="1:7" x14ac:dyDescent="0.2">
      <c r="A248" s="6">
        <v>44351</v>
      </c>
      <c r="B248" s="16">
        <v>17.103400000000001</v>
      </c>
      <c r="C248" s="30">
        <v>1.42</v>
      </c>
      <c r="E248" s="17">
        <f t="shared" si="9"/>
        <v>0.59347194348928956</v>
      </c>
      <c r="F248" s="17">
        <f t="shared" si="10"/>
        <v>-0.27847549933951188</v>
      </c>
      <c r="G248" s="17" t="str">
        <f t="shared" si="11"/>
        <v/>
      </c>
    </row>
    <row r="249" spans="1:7" x14ac:dyDescent="0.2">
      <c r="A249" s="6">
        <v>44358</v>
      </c>
      <c r="B249" s="16">
        <v>16.952300000000001</v>
      </c>
      <c r="C249" s="30">
        <v>1.31</v>
      </c>
      <c r="E249" s="17">
        <f t="shared" si="9"/>
        <v>0.53688347483296095</v>
      </c>
      <c r="F249" s="17">
        <f t="shared" si="10"/>
        <v>-0.15348477650612866</v>
      </c>
      <c r="G249" s="17" t="str">
        <f t="shared" si="11"/>
        <v/>
      </c>
    </row>
    <row r="250" spans="1:7" x14ac:dyDescent="0.2">
      <c r="A250" s="6">
        <v>44365</v>
      </c>
      <c r="B250" s="16">
        <v>16.257300000000001</v>
      </c>
      <c r="C250" s="30">
        <v>1.3674999999999999</v>
      </c>
      <c r="E250" s="17">
        <f t="shared" si="9"/>
        <v>0.27659898961688867</v>
      </c>
      <c r="F250" s="17">
        <f t="shared" si="10"/>
        <v>-0.21882083616903347</v>
      </c>
      <c r="G250" s="17" t="str">
        <f t="shared" si="11"/>
        <v/>
      </c>
    </row>
    <row r="251" spans="1:7" x14ac:dyDescent="0.2">
      <c r="A251" s="6">
        <v>44372</v>
      </c>
      <c r="B251" s="16">
        <v>16.098800000000001</v>
      </c>
      <c r="C251" s="30">
        <v>1.4075</v>
      </c>
      <c r="E251" s="17">
        <f t="shared" si="9"/>
        <v>0.21723914658559737</v>
      </c>
      <c r="F251" s="17">
        <f t="shared" si="10"/>
        <v>-0.26427200810844564</v>
      </c>
      <c r="G251" s="17" t="str">
        <f t="shared" si="11"/>
        <v/>
      </c>
    </row>
    <row r="252" spans="1:7" x14ac:dyDescent="0.2">
      <c r="A252" s="6">
        <v>44379</v>
      </c>
      <c r="B252" s="16">
        <v>16.052900000000001</v>
      </c>
      <c r="C252" s="30">
        <v>1.405</v>
      </c>
      <c r="E252" s="17">
        <f t="shared" si="9"/>
        <v>0.20004913525981663</v>
      </c>
      <c r="F252" s="17">
        <f t="shared" si="10"/>
        <v>-0.26143130986223245</v>
      </c>
      <c r="G252" s="17" t="str">
        <f t="shared" si="11"/>
        <v/>
      </c>
    </row>
    <row r="253" spans="1:7" x14ac:dyDescent="0.2">
      <c r="A253" s="6">
        <v>44386</v>
      </c>
      <c r="B253" s="16">
        <v>15.8283</v>
      </c>
      <c r="C253" s="30">
        <v>1.415</v>
      </c>
      <c r="E253" s="17">
        <f t="shared" si="9"/>
        <v>0.11593417787919799</v>
      </c>
      <c r="F253" s="17">
        <f t="shared" si="10"/>
        <v>-0.2727941028470855</v>
      </c>
      <c r="G253" s="17" t="str">
        <f t="shared" si="11"/>
        <v/>
      </c>
    </row>
    <row r="254" spans="1:7" x14ac:dyDescent="0.2">
      <c r="A254" s="6">
        <v>44393</v>
      </c>
      <c r="B254" s="16">
        <v>15.9521</v>
      </c>
      <c r="C254" s="30">
        <v>1.2925</v>
      </c>
      <c r="E254" s="17">
        <f t="shared" si="9"/>
        <v>0.1622985221522189</v>
      </c>
      <c r="F254" s="17">
        <f t="shared" si="10"/>
        <v>-0.13359988878263576</v>
      </c>
      <c r="G254" s="17" t="str">
        <f t="shared" si="11"/>
        <v/>
      </c>
    </row>
    <row r="255" spans="1:7" x14ac:dyDescent="0.2">
      <c r="A255" s="6">
        <v>44400</v>
      </c>
      <c r="B255" s="16">
        <v>15.908300000000001</v>
      </c>
      <c r="C255" s="30">
        <v>1.31</v>
      </c>
      <c r="E255" s="17">
        <f t="shared" si="9"/>
        <v>0.14589498193284661</v>
      </c>
      <c r="F255" s="17">
        <f t="shared" si="10"/>
        <v>-0.15348477650612866</v>
      </c>
      <c r="G255" s="17" t="str">
        <f t="shared" si="11"/>
        <v/>
      </c>
    </row>
    <row r="256" spans="1:7" x14ac:dyDescent="0.2">
      <c r="A256" s="6">
        <v>44407</v>
      </c>
      <c r="B256" s="16">
        <v>15.638</v>
      </c>
      <c r="C256" s="30">
        <v>1.325</v>
      </c>
      <c r="E256" s="17">
        <f t="shared" si="9"/>
        <v>4.4664915236581171E-2</v>
      </c>
      <c r="F256" s="17">
        <f t="shared" si="10"/>
        <v>-0.17052896598340811</v>
      </c>
      <c r="G256" s="17" t="str">
        <f t="shared" si="11"/>
        <v/>
      </c>
    </row>
    <row r="257" spans="1:7" x14ac:dyDescent="0.2">
      <c r="A257" s="6">
        <v>44414</v>
      </c>
      <c r="B257" s="16">
        <v>16.192699999999999</v>
      </c>
      <c r="C257" s="30">
        <v>1.325</v>
      </c>
      <c r="E257" s="17">
        <f t="shared" si="9"/>
        <v>0.25240564034356661</v>
      </c>
      <c r="F257" s="17">
        <f t="shared" si="10"/>
        <v>-0.17052896598340811</v>
      </c>
      <c r="G257" s="17" t="str">
        <f t="shared" si="11"/>
        <v/>
      </c>
    </row>
    <row r="258" spans="1:7" x14ac:dyDescent="0.2">
      <c r="A258" s="6">
        <v>44421</v>
      </c>
      <c r="B258" s="16">
        <v>16.476700000000001</v>
      </c>
      <c r="C258" s="30">
        <v>1.3274999999999999</v>
      </c>
      <c r="E258" s="17">
        <f t="shared" si="9"/>
        <v>0.35876649473402006</v>
      </c>
      <c r="F258" s="17">
        <f t="shared" si="10"/>
        <v>-0.1733696642296213</v>
      </c>
      <c r="G258" s="17" t="str">
        <f t="shared" si="11"/>
        <v/>
      </c>
    </row>
    <row r="259" spans="1:7" x14ac:dyDescent="0.2">
      <c r="A259" s="6">
        <v>44428</v>
      </c>
      <c r="B259" s="16">
        <v>16.694900000000001</v>
      </c>
      <c r="C259" s="30">
        <v>1.3425</v>
      </c>
      <c r="E259" s="17">
        <f t="shared" si="9"/>
        <v>0.44048458779034644</v>
      </c>
      <c r="F259" s="17">
        <f t="shared" si="10"/>
        <v>-0.190413853706901</v>
      </c>
      <c r="G259" s="17" t="str">
        <f t="shared" si="11"/>
        <v/>
      </c>
    </row>
    <row r="260" spans="1:7" x14ac:dyDescent="0.2">
      <c r="A260" s="6">
        <v>44435</v>
      </c>
      <c r="B260" s="16">
        <v>16.456</v>
      </c>
      <c r="C260" s="30">
        <v>1.33</v>
      </c>
      <c r="E260" s="17">
        <f t="shared" si="9"/>
        <v>0.35101413668513792</v>
      </c>
      <c r="F260" s="17">
        <f t="shared" si="10"/>
        <v>-0.17621036247583474</v>
      </c>
      <c r="G260" s="17" t="str">
        <f t="shared" si="11"/>
        <v/>
      </c>
    </row>
    <row r="261" spans="1:7" x14ac:dyDescent="0.2">
      <c r="A261" s="6">
        <v>44442</v>
      </c>
      <c r="B261" s="16">
        <v>16.933900000000001</v>
      </c>
      <c r="C261" s="30">
        <v>1.2549999999999999</v>
      </c>
      <c r="E261" s="17">
        <f t="shared" si="9"/>
        <v>0.52999248990062187</v>
      </c>
      <c r="F261" s="17">
        <f t="shared" si="10"/>
        <v>-9.0989415089436795E-2</v>
      </c>
      <c r="G261" s="17" t="str">
        <f t="shared" si="11"/>
        <v/>
      </c>
    </row>
    <row r="262" spans="1:7" x14ac:dyDescent="0.2">
      <c r="A262" s="6">
        <v>44449</v>
      </c>
      <c r="B262" s="16">
        <v>16.800599999999999</v>
      </c>
      <c r="C262" s="30">
        <v>1.2549999999999999</v>
      </c>
      <c r="E262" s="17">
        <f t="shared" ref="E262:E325" si="12">IF(ISNUMBER(B262),(B262-$J$6)/$J$7,"")</f>
        <v>0.48007030014622915</v>
      </c>
      <c r="F262" s="17">
        <f t="shared" ref="F262:F325" si="13">IF(ISNUMBER(C262),-(C262-$J$8)/$J$9,"")</f>
        <v>-9.0989415089436795E-2</v>
      </c>
      <c r="G262" s="17" t="str">
        <f t="shared" ref="G262:G325" si="14">IF(ISNUMBER(D262),-(D262-$J$10)/$J$11,"")</f>
        <v/>
      </c>
    </row>
    <row r="263" spans="1:7" x14ac:dyDescent="0.2">
      <c r="A263" s="6">
        <v>44456</v>
      </c>
      <c r="B263" s="16">
        <v>16.643599999999999</v>
      </c>
      <c r="C263" s="30">
        <v>1.25</v>
      </c>
      <c r="E263" s="17">
        <f t="shared" si="12"/>
        <v>0.42127222219094379</v>
      </c>
      <c r="F263" s="17">
        <f t="shared" si="13"/>
        <v>-8.5308018597010399E-2</v>
      </c>
      <c r="G263" s="17" t="str">
        <f t="shared" si="14"/>
        <v/>
      </c>
    </row>
    <row r="264" spans="1:7" x14ac:dyDescent="0.2">
      <c r="A264" s="6">
        <v>44463</v>
      </c>
      <c r="B264" s="16">
        <v>16.703199999999999</v>
      </c>
      <c r="C264" s="30">
        <v>1.2575000000000001</v>
      </c>
      <c r="E264" s="17">
        <f t="shared" si="12"/>
        <v>0.44359302121091188</v>
      </c>
      <c r="F264" s="17">
        <f t="shared" si="13"/>
        <v>-9.3830113335650236E-2</v>
      </c>
      <c r="G264" s="17" t="str">
        <f t="shared" si="14"/>
        <v/>
      </c>
    </row>
    <row r="265" spans="1:7" x14ac:dyDescent="0.2">
      <c r="A265" s="6">
        <v>44470</v>
      </c>
      <c r="B265" s="16">
        <v>17.0503</v>
      </c>
      <c r="C265" s="30">
        <v>1.29</v>
      </c>
      <c r="E265" s="17">
        <f t="shared" si="12"/>
        <v>0.57358545979868014</v>
      </c>
      <c r="F265" s="17">
        <f t="shared" si="13"/>
        <v>-0.13075919053642257</v>
      </c>
      <c r="G265" s="17" t="str">
        <f t="shared" si="14"/>
        <v/>
      </c>
    </row>
    <row r="266" spans="1:7" x14ac:dyDescent="0.2">
      <c r="A266" s="6">
        <v>44477</v>
      </c>
      <c r="B266" s="16">
        <v>18.1174</v>
      </c>
      <c r="C266" s="30">
        <v>1.2649999999999999</v>
      </c>
      <c r="E266" s="17">
        <f t="shared" si="12"/>
        <v>0.9732251348692853</v>
      </c>
      <c r="F266" s="17">
        <f t="shared" si="13"/>
        <v>-0.10235220807428984</v>
      </c>
      <c r="G266" s="17" t="str">
        <f t="shared" si="14"/>
        <v/>
      </c>
    </row>
    <row r="267" spans="1:7" x14ac:dyDescent="0.2">
      <c r="A267" s="6">
        <v>44484</v>
      </c>
      <c r="B267" s="16">
        <v>18.740400000000001</v>
      </c>
      <c r="C267" s="30">
        <v>1.2250000000000001</v>
      </c>
      <c r="E267" s="17">
        <f t="shared" si="12"/>
        <v>1.2065448964370742</v>
      </c>
      <c r="F267" s="17">
        <f t="shared" si="13"/>
        <v>-5.690103613487791E-2</v>
      </c>
      <c r="G267" s="17" t="str">
        <f t="shared" si="14"/>
        <v/>
      </c>
    </row>
    <row r="268" spans="1:7" x14ac:dyDescent="0.2">
      <c r="A268" s="6">
        <v>44491</v>
      </c>
      <c r="B268" s="16">
        <v>18.7087</v>
      </c>
      <c r="C268" s="30">
        <v>1.2250000000000001</v>
      </c>
      <c r="D268" s="26">
        <v>82.998999999999995</v>
      </c>
      <c r="E268" s="17">
        <f t="shared" si="12"/>
        <v>1.1946729278308157</v>
      </c>
      <c r="F268" s="17">
        <f t="shared" si="13"/>
        <v>-5.690103613487791E-2</v>
      </c>
      <c r="G268" s="17">
        <f t="shared" si="14"/>
        <v>0.23492494314779386</v>
      </c>
    </row>
    <row r="269" spans="1:7" x14ac:dyDescent="0.2">
      <c r="A269" s="6">
        <v>44498</v>
      </c>
      <c r="B269" s="16">
        <v>18.2437</v>
      </c>
      <c r="C269" s="30">
        <v>1.1000000000000001</v>
      </c>
      <c r="D269" s="26">
        <v>82.055999999999997</v>
      </c>
      <c r="E269" s="17">
        <f t="shared" si="12"/>
        <v>1.0205257542689832</v>
      </c>
      <c r="F269" s="17">
        <f t="shared" si="13"/>
        <v>8.5133876175785023E-2</v>
      </c>
      <c r="G269" s="17">
        <f t="shared" si="14"/>
        <v>0.28830119226486817</v>
      </c>
    </row>
    <row r="270" spans="1:7" x14ac:dyDescent="0.2">
      <c r="A270" s="6">
        <v>44505</v>
      </c>
      <c r="B270" s="16">
        <v>18.0184</v>
      </c>
      <c r="C270" s="30">
        <v>1.1025</v>
      </c>
      <c r="D270" s="26">
        <v>81.287999999999997</v>
      </c>
      <c r="E270" s="17">
        <f t="shared" si="12"/>
        <v>0.93614863985289509</v>
      </c>
      <c r="F270" s="17">
        <f t="shared" si="13"/>
        <v>8.2293177929571817E-2</v>
      </c>
      <c r="G270" s="17">
        <f t="shared" si="14"/>
        <v>0.3317719868798345</v>
      </c>
    </row>
    <row r="271" spans="1:7" x14ac:dyDescent="0.2">
      <c r="A271" s="6">
        <v>44512</v>
      </c>
      <c r="B271" s="16">
        <v>18.149000000000001</v>
      </c>
      <c r="C271" s="30">
        <v>0.83</v>
      </c>
      <c r="D271" s="26">
        <v>84.56</v>
      </c>
      <c r="E271" s="17">
        <f t="shared" si="12"/>
        <v>0.98505965247047689</v>
      </c>
      <c r="F271" s="17">
        <f t="shared" si="13"/>
        <v>0.3919292867668171</v>
      </c>
      <c r="G271" s="17">
        <f t="shared" si="14"/>
        <v>0.14656828898898833</v>
      </c>
    </row>
    <row r="272" spans="1:7" x14ac:dyDescent="0.2">
      <c r="A272" s="6">
        <v>44519</v>
      </c>
      <c r="B272" s="16">
        <v>17.956299999999999</v>
      </c>
      <c r="C272" s="30">
        <v>0.86499999999999999</v>
      </c>
      <c r="D272" s="26">
        <v>77.742999999999995</v>
      </c>
      <c r="E272" s="17">
        <f t="shared" si="12"/>
        <v>0.91289156570624996</v>
      </c>
      <c r="F272" s="17">
        <f t="shared" si="13"/>
        <v>0.35215951131983142</v>
      </c>
      <c r="G272" s="17">
        <f t="shared" si="14"/>
        <v>0.53242819379396922</v>
      </c>
    </row>
    <row r="273" spans="1:7" x14ac:dyDescent="0.2">
      <c r="A273" s="6">
        <v>44526</v>
      </c>
      <c r="B273" s="16">
        <v>17.498200000000001</v>
      </c>
      <c r="C273" s="30">
        <v>1.22</v>
      </c>
      <c r="D273" s="26">
        <v>88.343999999999994</v>
      </c>
      <c r="E273" s="17">
        <f t="shared" si="12"/>
        <v>0.74132851149404544</v>
      </c>
      <c r="F273" s="17">
        <f t="shared" si="13"/>
        <v>-5.1219639642451263E-2</v>
      </c>
      <c r="G273" s="17">
        <f t="shared" si="14"/>
        <v>-6.7615938645167892E-2</v>
      </c>
    </row>
    <row r="274" spans="1:7" x14ac:dyDescent="0.2">
      <c r="A274" s="6">
        <v>44533</v>
      </c>
      <c r="B274" s="16">
        <v>17.467099999999999</v>
      </c>
      <c r="C274" s="30">
        <v>1.5674999999999999</v>
      </c>
      <c r="D274" s="26">
        <v>86.811999999999998</v>
      </c>
      <c r="E274" s="17">
        <f t="shared" si="12"/>
        <v>0.72968124891818875</v>
      </c>
      <c r="F274" s="17">
        <f t="shared" si="13"/>
        <v>-0.44607669586609411</v>
      </c>
      <c r="G274" s="17">
        <f t="shared" si="14"/>
        <v>1.9099240196144823E-2</v>
      </c>
    </row>
    <row r="275" spans="1:7" x14ac:dyDescent="0.2">
      <c r="A275" s="6">
        <v>44540</v>
      </c>
      <c r="B275" s="16">
        <v>17.614000000000001</v>
      </c>
      <c r="C275" s="30">
        <v>1.6625000000000001</v>
      </c>
      <c r="D275" s="26">
        <v>75.421000000000006</v>
      </c>
      <c r="E275" s="17">
        <f t="shared" si="12"/>
        <v>0.78469677536170179</v>
      </c>
      <c r="F275" s="17">
        <f t="shared" si="13"/>
        <v>-0.55402322922219815</v>
      </c>
      <c r="G275" s="17">
        <f t="shared" si="14"/>
        <v>0.66385942438765566</v>
      </c>
    </row>
    <row r="276" spans="1:7" x14ac:dyDescent="0.2">
      <c r="A276" s="6">
        <v>44547</v>
      </c>
      <c r="B276" s="16">
        <v>17.4678</v>
      </c>
      <c r="C276" s="30">
        <v>1.27</v>
      </c>
      <c r="D276" s="26">
        <v>76.216999999999999</v>
      </c>
      <c r="E276" s="17">
        <f t="shared" si="12"/>
        <v>0.72994340595365892</v>
      </c>
      <c r="F276" s="17">
        <f t="shared" si="13"/>
        <v>-0.10803360456671648</v>
      </c>
      <c r="G276" s="17">
        <f t="shared" si="14"/>
        <v>0.61880375705235247</v>
      </c>
    </row>
    <row r="277" spans="1:7" x14ac:dyDescent="0.2">
      <c r="A277" s="6">
        <v>44554</v>
      </c>
      <c r="B277" s="16">
        <v>17.296600000000002</v>
      </c>
      <c r="C277" s="30">
        <v>1.0449999999999999</v>
      </c>
      <c r="D277" s="26">
        <v>76.260000000000005</v>
      </c>
      <c r="E277" s="17">
        <f t="shared" si="12"/>
        <v>0.66582728527885127</v>
      </c>
      <c r="F277" s="17">
        <f t="shared" si="13"/>
        <v>0.1476292375924769</v>
      </c>
      <c r="G277" s="17">
        <f t="shared" si="14"/>
        <v>0.61636984537469131</v>
      </c>
    </row>
    <row r="278" spans="1:7" x14ac:dyDescent="0.2">
      <c r="A278" s="6">
        <v>44561</v>
      </c>
      <c r="B278" s="16">
        <v>17.308299999999999</v>
      </c>
      <c r="C278" s="30">
        <v>0.96250000000000002</v>
      </c>
      <c r="D278" s="26">
        <v>75.296999999999997</v>
      </c>
      <c r="E278" s="17">
        <f t="shared" si="12"/>
        <v>0.67020905287169652</v>
      </c>
      <c r="F278" s="17">
        <f t="shared" si="13"/>
        <v>0.24137227971751432</v>
      </c>
      <c r="G278" s="17">
        <f t="shared" si="14"/>
        <v>0.67087814643486421</v>
      </c>
    </row>
    <row r="279" spans="1:7" x14ac:dyDescent="0.2">
      <c r="A279" s="6">
        <v>44568</v>
      </c>
      <c r="B279" s="16">
        <v>17.765499999999999</v>
      </c>
      <c r="C279" s="30">
        <v>1.0900000000000001</v>
      </c>
      <c r="D279" s="26">
        <v>77.575999999999993</v>
      </c>
      <c r="E279" s="17">
        <f t="shared" si="12"/>
        <v>0.84143504803829827</v>
      </c>
      <c r="F279" s="17">
        <f t="shared" si="13"/>
        <v>9.6496669160638066E-2</v>
      </c>
      <c r="G279" s="17">
        <f t="shared" si="14"/>
        <v>0.54188082751883826</v>
      </c>
    </row>
    <row r="280" spans="1:7" x14ac:dyDescent="0.2">
      <c r="A280" s="6">
        <v>44575</v>
      </c>
      <c r="B280" s="16">
        <v>17.908899999999999</v>
      </c>
      <c r="C280" s="30">
        <v>0.89749999999999996</v>
      </c>
      <c r="D280" s="26">
        <v>84.066000000000003</v>
      </c>
      <c r="E280" s="17">
        <f t="shared" si="12"/>
        <v>0.89513978930446336</v>
      </c>
      <c r="F280" s="17">
        <f t="shared" si="13"/>
        <v>0.3152304341190591</v>
      </c>
      <c r="G280" s="17">
        <f t="shared" si="14"/>
        <v>0.17452997198351089</v>
      </c>
    </row>
    <row r="281" spans="1:7" x14ac:dyDescent="0.2">
      <c r="A281" s="6">
        <v>44582</v>
      </c>
      <c r="B281" s="16">
        <v>18.0947</v>
      </c>
      <c r="C281" s="30">
        <v>0.89749999999999996</v>
      </c>
      <c r="D281" s="26">
        <v>87.817999999999998</v>
      </c>
      <c r="E281" s="17">
        <f t="shared" si="12"/>
        <v>0.96472375671906241</v>
      </c>
      <c r="F281" s="17">
        <f t="shared" si="13"/>
        <v>0.3152304341190591</v>
      </c>
      <c r="G281" s="17">
        <f t="shared" si="14"/>
        <v>-3.7842972541688599E-2</v>
      </c>
    </row>
    <row r="282" spans="1:7" x14ac:dyDescent="0.2">
      <c r="A282" s="6">
        <v>44589</v>
      </c>
      <c r="B282" s="16">
        <v>17.538</v>
      </c>
      <c r="C282" s="30">
        <v>0.88</v>
      </c>
      <c r="D282" s="26">
        <v>91.483999999999995</v>
      </c>
      <c r="E282" s="17">
        <f t="shared" si="12"/>
        <v>0.75623401151073544</v>
      </c>
      <c r="F282" s="17">
        <f t="shared" si="13"/>
        <v>0.33511532184255188</v>
      </c>
      <c r="G282" s="17">
        <f t="shared" si="14"/>
        <v>-0.24534809371156643</v>
      </c>
    </row>
    <row r="283" spans="1:7" x14ac:dyDescent="0.2">
      <c r="A283" s="6">
        <v>44596</v>
      </c>
      <c r="B283" s="16">
        <v>16.915099999999999</v>
      </c>
      <c r="C283" s="30">
        <v>0.82250000000000001</v>
      </c>
      <c r="D283" s="26">
        <v>91.748999999999995</v>
      </c>
      <c r="E283" s="17">
        <f t="shared" si="12"/>
        <v>0.52295170094801358</v>
      </c>
      <c r="F283" s="17">
        <f t="shared" si="13"/>
        <v>0.40045138150545678</v>
      </c>
      <c r="G283" s="17">
        <f t="shared" si="14"/>
        <v>-0.26034778195761604</v>
      </c>
    </row>
    <row r="284" spans="1:7" x14ac:dyDescent="0.2">
      <c r="A284" s="6">
        <v>44603</v>
      </c>
      <c r="B284" s="16">
        <v>17.302800000000001</v>
      </c>
      <c r="C284" s="30">
        <v>0.75</v>
      </c>
      <c r="D284" s="26">
        <v>95.793999999999997</v>
      </c>
      <c r="E284" s="17">
        <f t="shared" si="12"/>
        <v>0.66814924759300898</v>
      </c>
      <c r="F284" s="17">
        <f t="shared" si="13"/>
        <v>0.48283163064564133</v>
      </c>
      <c r="G284" s="17">
        <f t="shared" si="14"/>
        <v>-0.48930528744920276</v>
      </c>
    </row>
    <row r="285" spans="1:7" x14ac:dyDescent="0.2">
      <c r="A285" s="6">
        <v>44610</v>
      </c>
      <c r="B285" s="16">
        <v>17.468800000000002</v>
      </c>
      <c r="C285" s="30">
        <v>0.92749999999999999</v>
      </c>
      <c r="D285" s="26">
        <v>98.021000000000001</v>
      </c>
      <c r="E285" s="17">
        <f t="shared" si="12"/>
        <v>0.73031791600432994</v>
      </c>
      <c r="F285" s="17">
        <f t="shared" si="13"/>
        <v>0.28114205516449997</v>
      </c>
      <c r="G285" s="17">
        <f t="shared" si="14"/>
        <v>-0.61535927131317414</v>
      </c>
    </row>
    <row r="286" spans="1:7" x14ac:dyDescent="0.2">
      <c r="A286" s="6">
        <v>44617</v>
      </c>
      <c r="B286" s="16">
        <v>17.610499999999998</v>
      </c>
      <c r="C286" s="30">
        <v>1.0425</v>
      </c>
      <c r="D286" s="26">
        <v>108.27500000000001</v>
      </c>
      <c r="E286" s="17">
        <f t="shared" si="12"/>
        <v>0.78338599018435373</v>
      </c>
      <c r="F286" s="17">
        <f t="shared" si="13"/>
        <v>0.15046993583869009</v>
      </c>
      <c r="G286" s="17">
        <f t="shared" si="14"/>
        <v>-1.1957623025395598</v>
      </c>
    </row>
    <row r="287" spans="1:7" x14ac:dyDescent="0.2">
      <c r="A287" s="6">
        <v>44624</v>
      </c>
      <c r="B287" s="16">
        <v>17.3446</v>
      </c>
      <c r="C287" s="30">
        <v>1.6</v>
      </c>
      <c r="D287" s="26">
        <v>115.053</v>
      </c>
      <c r="E287" s="17">
        <f t="shared" si="12"/>
        <v>0.68380376771103979</v>
      </c>
      <c r="F287" s="17">
        <f t="shared" si="13"/>
        <v>-0.48300577306686671</v>
      </c>
      <c r="G287" s="17">
        <f t="shared" si="14"/>
        <v>-1.5794147060554986</v>
      </c>
    </row>
    <row r="288" spans="1:7" x14ac:dyDescent="0.2">
      <c r="A288" s="6">
        <v>44631</v>
      </c>
      <c r="B288" s="16">
        <v>17.408200000000001</v>
      </c>
      <c r="C288" s="30">
        <v>1.6675</v>
      </c>
      <c r="D288" s="26">
        <v>111.857</v>
      </c>
      <c r="E288" s="17">
        <f t="shared" si="12"/>
        <v>0.70762260693369083</v>
      </c>
      <c r="F288" s="17">
        <f t="shared" si="13"/>
        <v>-0.55970462571462454</v>
      </c>
      <c r="G288" s="17">
        <f t="shared" si="14"/>
        <v>-1.3985128055484255</v>
      </c>
    </row>
    <row r="289" spans="1:7" x14ac:dyDescent="0.2">
      <c r="A289" s="6">
        <v>44638</v>
      </c>
      <c r="B289" s="16">
        <v>17.468</v>
      </c>
      <c r="C289" s="30">
        <v>1.2825</v>
      </c>
      <c r="D289" s="26">
        <v>87.963999999999999</v>
      </c>
      <c r="E289" s="17">
        <f t="shared" si="12"/>
        <v>0.73001830796379286</v>
      </c>
      <c r="F289" s="17">
        <f t="shared" si="13"/>
        <v>-0.12223709579778272</v>
      </c>
      <c r="G289" s="17">
        <f t="shared" si="14"/>
        <v>-4.6106951726304628E-2</v>
      </c>
    </row>
    <row r="290" spans="1:7" x14ac:dyDescent="0.2">
      <c r="A290" s="6">
        <v>44645</v>
      </c>
      <c r="B290" s="16">
        <v>17.569600000000001</v>
      </c>
      <c r="C290" s="30">
        <v>1.1525000000000001</v>
      </c>
      <c r="D290" s="26">
        <v>95.951999999999998</v>
      </c>
      <c r="E290" s="17">
        <f t="shared" si="12"/>
        <v>0.76806852911192702</v>
      </c>
      <c r="F290" s="17">
        <f t="shared" si="13"/>
        <v>2.5479213005306599E-2</v>
      </c>
      <c r="G290" s="17">
        <f t="shared" si="14"/>
        <v>-0.49824849779967761</v>
      </c>
    </row>
    <row r="291" spans="1:7" x14ac:dyDescent="0.2">
      <c r="A291" s="6">
        <v>44652</v>
      </c>
      <c r="B291" s="16">
        <v>16.417200000000001</v>
      </c>
      <c r="C291" s="30">
        <v>1.1299999999999999</v>
      </c>
      <c r="D291" s="26">
        <v>84.751000000000005</v>
      </c>
      <c r="E291" s="17">
        <f t="shared" si="12"/>
        <v>0.33648314671911894</v>
      </c>
      <c r="F291" s="17">
        <f t="shared" si="13"/>
        <v>5.1045497221226137E-2</v>
      </c>
      <c r="G291" s="17">
        <f t="shared" si="14"/>
        <v>0.13575719293240154</v>
      </c>
    </row>
    <row r="292" spans="1:7" x14ac:dyDescent="0.2">
      <c r="A292" s="6">
        <v>44659</v>
      </c>
      <c r="B292" s="16">
        <v>16.355399999999999</v>
      </c>
      <c r="C292" s="30">
        <v>0.99250000000000005</v>
      </c>
      <c r="D292" s="26">
        <v>82.600999999999999</v>
      </c>
      <c r="E292" s="17">
        <f t="shared" si="12"/>
        <v>0.31333842558767483</v>
      </c>
      <c r="F292" s="17">
        <f t="shared" si="13"/>
        <v>0.20728390076295519</v>
      </c>
      <c r="G292" s="17">
        <f t="shared" si="14"/>
        <v>0.25745277681544543</v>
      </c>
    </row>
    <row r="293" spans="1:7" x14ac:dyDescent="0.2">
      <c r="A293" s="6">
        <v>44666</v>
      </c>
      <c r="B293" s="16">
        <v>16.0854</v>
      </c>
      <c r="C293" s="30">
        <v>0.97499999999999998</v>
      </c>
      <c r="D293" s="26">
        <v>88.179000000000002</v>
      </c>
      <c r="E293" s="17">
        <f t="shared" si="12"/>
        <v>0.21222071190661096</v>
      </c>
      <c r="F293" s="17">
        <f t="shared" si="13"/>
        <v>0.22716878848644806</v>
      </c>
      <c r="G293" s="17">
        <f t="shared" si="14"/>
        <v>-5.827651011460918E-2</v>
      </c>
    </row>
    <row r="294" spans="1:7" x14ac:dyDescent="0.2">
      <c r="A294" s="6">
        <v>44673</v>
      </c>
      <c r="B294" s="16">
        <v>16.228300000000001</v>
      </c>
      <c r="C294" s="30">
        <v>1.1599999999999999</v>
      </c>
      <c r="D294" s="26">
        <v>92.998999999999995</v>
      </c>
      <c r="E294" s="17">
        <f t="shared" si="12"/>
        <v>0.2657381981474411</v>
      </c>
      <c r="F294" s="17">
        <f t="shared" si="13"/>
        <v>1.6957118266667005E-2</v>
      </c>
      <c r="G294" s="17">
        <f t="shared" si="14"/>
        <v>-0.331101028401246</v>
      </c>
    </row>
    <row r="295" spans="1:7" x14ac:dyDescent="0.2">
      <c r="A295" s="6">
        <v>44680</v>
      </c>
      <c r="B295" s="16">
        <v>16.514500000000002</v>
      </c>
      <c r="C295" s="30">
        <v>2.0049999999999999</v>
      </c>
      <c r="D295" s="26">
        <v>101.095</v>
      </c>
      <c r="E295" s="17">
        <f t="shared" si="12"/>
        <v>0.3729229746493693</v>
      </c>
      <c r="F295" s="17">
        <f t="shared" si="13"/>
        <v>-0.94319888895341431</v>
      </c>
      <c r="G295" s="17">
        <f t="shared" si="14"/>
        <v>-0.78935565496734883</v>
      </c>
    </row>
    <row r="296" spans="1:7" x14ac:dyDescent="0.2">
      <c r="A296" s="6">
        <v>44687</v>
      </c>
      <c r="B296" s="16">
        <v>16.4129</v>
      </c>
      <c r="C296" s="30">
        <v>1.93</v>
      </c>
      <c r="D296" s="26">
        <v>106.736</v>
      </c>
      <c r="E296" s="17">
        <f t="shared" si="12"/>
        <v>0.33487275350123508</v>
      </c>
      <c r="F296" s="17">
        <f t="shared" si="13"/>
        <v>-0.85797794156701668</v>
      </c>
      <c r="G296" s="17">
        <f t="shared" si="14"/>
        <v>-1.1086509055181626</v>
      </c>
    </row>
    <row r="297" spans="1:7" x14ac:dyDescent="0.2">
      <c r="A297" s="6">
        <v>44694</v>
      </c>
      <c r="B297" s="16">
        <v>14.761699999999999</v>
      </c>
      <c r="C297" s="30">
        <v>2.1225000000000001</v>
      </c>
      <c r="D297" s="26">
        <v>108.607</v>
      </c>
      <c r="E297" s="17">
        <f t="shared" si="12"/>
        <v>-0.2835182421660723</v>
      </c>
      <c r="F297" s="17">
        <f t="shared" si="13"/>
        <v>-1.0767117065254377</v>
      </c>
      <c r="G297" s="17">
        <f t="shared" si="14"/>
        <v>-1.2145543647949877</v>
      </c>
    </row>
    <row r="298" spans="1:7" x14ac:dyDescent="0.2">
      <c r="A298" s="6">
        <v>44701</v>
      </c>
      <c r="B298" s="16">
        <v>14.953900000000001</v>
      </c>
      <c r="C298" s="30">
        <v>2.0924999999999998</v>
      </c>
      <c r="D298" s="26">
        <v>106.358</v>
      </c>
      <c r="E298" s="17">
        <f t="shared" si="12"/>
        <v>-0.21153741042718102</v>
      </c>
      <c r="F298" s="17">
        <f t="shared" si="13"/>
        <v>-1.0426233275708783</v>
      </c>
      <c r="G298" s="17">
        <f t="shared" si="14"/>
        <v>-1.0872551237936088</v>
      </c>
    </row>
    <row r="299" spans="1:7" x14ac:dyDescent="0.2">
      <c r="A299" s="6">
        <v>44708</v>
      </c>
      <c r="B299" s="16">
        <v>15.1755</v>
      </c>
      <c r="C299" s="30">
        <v>1.95</v>
      </c>
      <c r="D299" s="26">
        <v>91.238</v>
      </c>
      <c r="E299" s="17">
        <f t="shared" si="12"/>
        <v>-0.12854598319857491</v>
      </c>
      <c r="F299" s="17">
        <f t="shared" si="13"/>
        <v>-0.88070352753672276</v>
      </c>
      <c r="G299" s="17">
        <f t="shared" si="14"/>
        <v>-0.23142385481146033</v>
      </c>
    </row>
    <row r="300" spans="1:7" x14ac:dyDescent="0.2">
      <c r="A300" s="6">
        <v>44715</v>
      </c>
      <c r="B300" s="16">
        <v>15.217499999999999</v>
      </c>
      <c r="C300" s="30">
        <v>1.4325000000000001</v>
      </c>
      <c r="D300" s="26">
        <v>93.15</v>
      </c>
      <c r="E300" s="17">
        <f t="shared" si="12"/>
        <v>-0.11281656107040945</v>
      </c>
      <c r="F300" s="17">
        <f t="shared" si="13"/>
        <v>-0.29267899057057839</v>
      </c>
      <c r="G300" s="17">
        <f t="shared" si="14"/>
        <v>-0.33964802057163712</v>
      </c>
    </row>
    <row r="301" spans="1:7" x14ac:dyDescent="0.2">
      <c r="A301" s="6">
        <v>44722</v>
      </c>
      <c r="B301" s="16">
        <v>14.7029</v>
      </c>
      <c r="C301" s="30">
        <v>1.5225</v>
      </c>
      <c r="D301" s="26">
        <v>100.355</v>
      </c>
      <c r="E301" s="17">
        <f t="shared" si="12"/>
        <v>-0.30553943314550397</v>
      </c>
      <c r="F301" s="17">
        <f t="shared" si="13"/>
        <v>-0.39494412743425555</v>
      </c>
      <c r="G301" s="17">
        <f t="shared" si="14"/>
        <v>-0.74746973307272024</v>
      </c>
    </row>
    <row r="302" spans="1:7" x14ac:dyDescent="0.2">
      <c r="A302" s="6">
        <v>44729</v>
      </c>
      <c r="B302" s="16">
        <v>14.366</v>
      </c>
      <c r="C302" s="30">
        <v>2.0674999999999999</v>
      </c>
      <c r="D302" s="26">
        <v>116.167</v>
      </c>
      <c r="E302" s="17">
        <f t="shared" si="12"/>
        <v>-0.43171186921643157</v>
      </c>
      <c r="F302" s="17">
        <f t="shared" si="13"/>
        <v>-1.0142163451087458</v>
      </c>
      <c r="G302" s="17">
        <f t="shared" si="14"/>
        <v>-1.6424699992860619</v>
      </c>
    </row>
    <row r="303" spans="1:7" x14ac:dyDescent="0.2">
      <c r="A303" s="6">
        <v>44736</v>
      </c>
      <c r="B303" s="16">
        <v>14.526999999999999</v>
      </c>
      <c r="C303" s="30">
        <v>2.16</v>
      </c>
      <c r="D303" s="26">
        <v>107.321</v>
      </c>
      <c r="E303" s="17">
        <f t="shared" si="12"/>
        <v>-0.37141575105846392</v>
      </c>
      <c r="F303" s="17">
        <f t="shared" si="13"/>
        <v>-1.1193221802186366</v>
      </c>
      <c r="G303" s="17">
        <f t="shared" si="14"/>
        <v>-1.1417634248537811</v>
      </c>
    </row>
    <row r="304" spans="1:7" x14ac:dyDescent="0.2">
      <c r="A304" s="6">
        <v>44743</v>
      </c>
      <c r="B304" s="16">
        <v>13.903600000000001</v>
      </c>
      <c r="C304" s="30">
        <v>2.1025</v>
      </c>
      <c r="D304" s="26">
        <v>143.173</v>
      </c>
      <c r="E304" s="17">
        <f t="shared" si="12"/>
        <v>-0.60488531664652001</v>
      </c>
      <c r="F304" s="17">
        <f t="shared" si="13"/>
        <v>-1.0539861205557315</v>
      </c>
      <c r="G304" s="17">
        <f t="shared" si="14"/>
        <v>-3.1710797380513989</v>
      </c>
    </row>
    <row r="305" spans="1:7" x14ac:dyDescent="0.2">
      <c r="A305" s="6">
        <v>44750</v>
      </c>
      <c r="B305" s="16">
        <v>13.873900000000001</v>
      </c>
      <c r="C305" s="30">
        <v>2.085</v>
      </c>
      <c r="D305" s="26">
        <v>145.28200000000001</v>
      </c>
      <c r="E305" s="17">
        <f t="shared" si="12"/>
        <v>-0.61600826515143714</v>
      </c>
      <c r="F305" s="17">
        <f t="shared" si="13"/>
        <v>-1.0341012328322388</v>
      </c>
      <c r="G305" s="17">
        <f t="shared" si="14"/>
        <v>-3.2904546154510919</v>
      </c>
    </row>
    <row r="306" spans="1:7" x14ac:dyDescent="0.2">
      <c r="A306" s="6">
        <v>44757</v>
      </c>
      <c r="B306" s="16">
        <v>13.4619</v>
      </c>
      <c r="C306" s="30">
        <v>2.4075000000000002</v>
      </c>
      <c r="D306" s="26">
        <v>164.428</v>
      </c>
      <c r="E306" s="17">
        <f t="shared" si="12"/>
        <v>-0.77030640602772771</v>
      </c>
      <c r="F306" s="17">
        <f t="shared" si="13"/>
        <v>-1.4005513065937494</v>
      </c>
      <c r="G306" s="17">
        <f t="shared" si="14"/>
        <v>-4.3741679405788831</v>
      </c>
    </row>
    <row r="307" spans="1:7" x14ac:dyDescent="0.2">
      <c r="A307" s="6">
        <v>44764</v>
      </c>
      <c r="B307" s="16">
        <v>14.171900000000001</v>
      </c>
      <c r="C307" s="30">
        <v>2.2650000000000001</v>
      </c>
      <c r="D307" s="26">
        <v>128.39099999999999</v>
      </c>
      <c r="E307" s="17">
        <f t="shared" si="12"/>
        <v>-0.50440427005159605</v>
      </c>
      <c r="F307" s="17">
        <f t="shared" si="13"/>
        <v>-1.2386315065595934</v>
      </c>
      <c r="G307" s="17">
        <f t="shared" si="14"/>
        <v>-2.3343801469076078</v>
      </c>
    </row>
    <row r="308" spans="1:7" x14ac:dyDescent="0.2">
      <c r="A308" s="6">
        <v>44771</v>
      </c>
      <c r="B308" s="16">
        <v>14.199</v>
      </c>
      <c r="C308" s="30">
        <v>1.8</v>
      </c>
      <c r="D308" s="26">
        <v>99.010999999999996</v>
      </c>
      <c r="E308" s="17">
        <f t="shared" si="12"/>
        <v>-0.49425504767842293</v>
      </c>
      <c r="F308" s="17">
        <f t="shared" si="13"/>
        <v>-0.71026163276392729</v>
      </c>
      <c r="G308" s="17">
        <f t="shared" si="14"/>
        <v>-0.67139584249652884</v>
      </c>
    </row>
    <row r="309" spans="1:7" x14ac:dyDescent="0.2">
      <c r="A309" s="6">
        <v>44778</v>
      </c>
      <c r="B309" s="16">
        <v>14.5931</v>
      </c>
      <c r="C309" s="30">
        <v>1.7549999999999999</v>
      </c>
      <c r="D309" s="26">
        <v>98.316999999999993</v>
      </c>
      <c r="E309" s="17">
        <f t="shared" si="12"/>
        <v>-0.3466606367091366</v>
      </c>
      <c r="F309" s="17">
        <f t="shared" si="13"/>
        <v>-0.65912906433208851</v>
      </c>
      <c r="G309" s="17">
        <f t="shared" si="14"/>
        <v>-0.63211364007102533</v>
      </c>
    </row>
    <row r="310" spans="1:7" x14ac:dyDescent="0.2">
      <c r="A310" s="6">
        <v>44785</v>
      </c>
      <c r="B310" s="16">
        <v>14.486499999999999</v>
      </c>
      <c r="C310" s="30">
        <v>1.52</v>
      </c>
      <c r="D310" s="26">
        <v>102.85899999999999</v>
      </c>
      <c r="E310" s="17">
        <f t="shared" si="12"/>
        <v>-0.38658340811062347</v>
      </c>
      <c r="F310" s="17">
        <f t="shared" si="13"/>
        <v>-0.39210342918804236</v>
      </c>
      <c r="G310" s="17">
        <f t="shared" si="14"/>
        <v>-0.88920263634859931</v>
      </c>
    </row>
    <row r="311" spans="1:7" x14ac:dyDescent="0.2">
      <c r="A311" s="6">
        <v>44792</v>
      </c>
      <c r="B311" s="16">
        <v>14.3842</v>
      </c>
      <c r="C311" s="30">
        <v>1.65</v>
      </c>
      <c r="D311" s="26">
        <v>105.864</v>
      </c>
      <c r="E311" s="17">
        <f t="shared" si="12"/>
        <v>-0.42489578629422647</v>
      </c>
      <c r="F311" s="17">
        <f t="shared" si="13"/>
        <v>-0.5398197379911317</v>
      </c>
      <c r="G311" s="17">
        <f t="shared" si="14"/>
        <v>-1.0592934407990864</v>
      </c>
    </row>
    <row r="312" spans="1:7" x14ac:dyDescent="0.2">
      <c r="A312" s="6">
        <v>44799</v>
      </c>
      <c r="B312" s="16">
        <v>14.2279</v>
      </c>
      <c r="C312" s="30">
        <v>1.5449999999999999</v>
      </c>
      <c r="D312" s="26">
        <v>103.515</v>
      </c>
      <c r="E312" s="17">
        <f t="shared" si="12"/>
        <v>-0.48343170721404233</v>
      </c>
      <c r="F312" s="17">
        <f t="shared" si="13"/>
        <v>-0.42051041165017483</v>
      </c>
      <c r="G312" s="17">
        <f t="shared" si="14"/>
        <v>-0.92633394008221659</v>
      </c>
    </row>
    <row r="313" spans="1:7" x14ac:dyDescent="0.2">
      <c r="A313" s="6">
        <v>44806</v>
      </c>
      <c r="B313" s="16">
        <v>14.3223</v>
      </c>
      <c r="C313" s="30">
        <v>1.5674999999999999</v>
      </c>
      <c r="D313" s="26">
        <v>122.235</v>
      </c>
      <c r="E313" s="17">
        <f t="shared" si="12"/>
        <v>-0.44807795843073689</v>
      </c>
      <c r="F313" s="17">
        <f t="shared" si="13"/>
        <v>-0.44607669586609411</v>
      </c>
      <c r="G313" s="17">
        <f t="shared" si="14"/>
        <v>-1.9859345588220192</v>
      </c>
    </row>
    <row r="314" spans="1:7" x14ac:dyDescent="0.2">
      <c r="A314" s="6">
        <v>44813</v>
      </c>
      <c r="B314" s="16">
        <v>14.5006</v>
      </c>
      <c r="C314" s="30">
        <v>1.4950000000000001</v>
      </c>
      <c r="D314" s="26">
        <v>111.08</v>
      </c>
      <c r="E314" s="17">
        <f t="shared" si="12"/>
        <v>-0.38130281639616753</v>
      </c>
      <c r="F314" s="17">
        <f t="shared" si="13"/>
        <v>-0.36369644672590984</v>
      </c>
      <c r="G314" s="17">
        <f t="shared" si="14"/>
        <v>-1.3545325875590652</v>
      </c>
    </row>
    <row r="315" spans="1:7" x14ac:dyDescent="0.2">
      <c r="A315" s="6">
        <v>44820</v>
      </c>
      <c r="B315" s="16">
        <v>14.4788</v>
      </c>
      <c r="C315" s="30">
        <v>1.4975000000000001</v>
      </c>
      <c r="D315" s="26">
        <v>110.78100000000001</v>
      </c>
      <c r="E315" s="17">
        <f t="shared" si="12"/>
        <v>-0.38946713550078704</v>
      </c>
      <c r="F315" s="17">
        <f t="shared" si="13"/>
        <v>-0.36653714497212303</v>
      </c>
      <c r="G315" s="17">
        <f t="shared" si="14"/>
        <v>-1.3376084110097493</v>
      </c>
    </row>
    <row r="316" spans="1:7" x14ac:dyDescent="0.2">
      <c r="A316" s="6">
        <v>44827</v>
      </c>
      <c r="B316" s="16">
        <v>14.5512</v>
      </c>
      <c r="C316" s="30">
        <v>1.575</v>
      </c>
      <c r="D316" s="26">
        <v>147.26599999999999</v>
      </c>
      <c r="E316" s="17">
        <f t="shared" si="12"/>
        <v>-0.36235260783223505</v>
      </c>
      <c r="F316" s="17">
        <f t="shared" si="13"/>
        <v>-0.45459879060473396</v>
      </c>
      <c r="G316" s="17">
        <f t="shared" si="14"/>
        <v>-3.4027541682064202</v>
      </c>
    </row>
    <row r="317" spans="1:7" x14ac:dyDescent="0.2">
      <c r="A317" s="6">
        <v>44834</v>
      </c>
      <c r="B317" s="16">
        <v>14.363799999999999</v>
      </c>
      <c r="C317" s="30">
        <v>2.9375</v>
      </c>
      <c r="D317" s="26">
        <v>161.352</v>
      </c>
      <c r="E317" s="17">
        <f t="shared" si="12"/>
        <v>-0.43253579132790698</v>
      </c>
      <c r="F317" s="17">
        <f t="shared" si="13"/>
        <v>-2.0027793347909597</v>
      </c>
      <c r="G317" s="17">
        <f t="shared" si="14"/>
        <v>-4.2000583517303989</v>
      </c>
    </row>
    <row r="318" spans="1:7" x14ac:dyDescent="0.2">
      <c r="A318" s="6">
        <v>44841</v>
      </c>
      <c r="B318" s="16">
        <v>14.0844</v>
      </c>
      <c r="C318" s="30">
        <v>2.69</v>
      </c>
      <c r="D318" s="26">
        <v>153.78700000000001</v>
      </c>
      <c r="E318" s="17">
        <f t="shared" si="12"/>
        <v>-0.53717389948527439</v>
      </c>
      <c r="F318" s="17">
        <f t="shared" si="13"/>
        <v>-1.7215502084158472</v>
      </c>
      <c r="G318" s="17">
        <f t="shared" si="14"/>
        <v>-3.7718597042535502</v>
      </c>
    </row>
    <row r="319" spans="1:7" x14ac:dyDescent="0.2">
      <c r="A319" s="6">
        <v>44848</v>
      </c>
      <c r="B319" s="16">
        <v>13.7583</v>
      </c>
      <c r="C319" s="30">
        <v>2.86</v>
      </c>
      <c r="D319" s="26">
        <v>160.042</v>
      </c>
      <c r="E319" s="17">
        <f t="shared" si="12"/>
        <v>-0.65930162700895956</v>
      </c>
      <c r="F319" s="17">
        <f t="shared" si="13"/>
        <v>-1.9147176891583488</v>
      </c>
      <c r="G319" s="17">
        <f t="shared" si="14"/>
        <v>-4.1259089494574743</v>
      </c>
    </row>
    <row r="320" spans="1:7" x14ac:dyDescent="0.2">
      <c r="A320" s="6">
        <v>44855</v>
      </c>
      <c r="B320" s="16">
        <v>14.258100000000001</v>
      </c>
      <c r="C320" s="30">
        <v>2.79</v>
      </c>
      <c r="D320" s="26">
        <v>159.19499999999999</v>
      </c>
      <c r="E320" s="17">
        <f t="shared" si="12"/>
        <v>-0.47212150368378974</v>
      </c>
      <c r="F320" s="17">
        <f t="shared" si="13"/>
        <v>-1.8351781382643777</v>
      </c>
      <c r="G320" s="17">
        <f t="shared" si="14"/>
        <v>-4.0779665496672699</v>
      </c>
    </row>
    <row r="321" spans="1:7" x14ac:dyDescent="0.2">
      <c r="A321" s="6">
        <v>44862</v>
      </c>
      <c r="B321" s="16">
        <v>14.3355</v>
      </c>
      <c r="C321" s="30">
        <v>2.63</v>
      </c>
      <c r="D321" s="26">
        <v>137.75700000000001</v>
      </c>
      <c r="E321" s="17">
        <f t="shared" si="12"/>
        <v>-0.44313442576188511</v>
      </c>
      <c r="F321" s="17">
        <f t="shared" si="13"/>
        <v>-1.653373450506729</v>
      </c>
      <c r="G321" s="17">
        <f t="shared" si="14"/>
        <v>-2.8645200718604391</v>
      </c>
    </row>
    <row r="322" spans="1:7" x14ac:dyDescent="0.2">
      <c r="A322" s="6">
        <v>44869</v>
      </c>
      <c r="B322" s="16">
        <v>14.234500000000001</v>
      </c>
      <c r="C322" s="30">
        <v>2.5150000000000001</v>
      </c>
      <c r="D322" s="26">
        <v>138.06</v>
      </c>
      <c r="E322" s="17">
        <f t="shared" si="12"/>
        <v>-0.48095994087961613</v>
      </c>
      <c r="F322" s="17">
        <f t="shared" si="13"/>
        <v>-1.5227013311809194</v>
      </c>
      <c r="G322" s="17">
        <f t="shared" si="14"/>
        <v>-2.8816706587983747</v>
      </c>
    </row>
    <row r="323" spans="1:7" x14ac:dyDescent="0.2">
      <c r="A323" s="6">
        <v>44876</v>
      </c>
      <c r="B323" s="16">
        <v>14.3864</v>
      </c>
      <c r="C323" s="30">
        <v>2.2050000000000001</v>
      </c>
      <c r="D323" s="26">
        <v>105.967</v>
      </c>
      <c r="E323" s="17">
        <f t="shared" si="12"/>
        <v>-0.42407186418275106</v>
      </c>
      <c r="F323" s="17">
        <f t="shared" si="13"/>
        <v>-1.1704547486504753</v>
      </c>
      <c r="G323" s="17">
        <f t="shared" si="14"/>
        <v>-1.0651235083060411</v>
      </c>
    </row>
    <row r="324" spans="1:7" x14ac:dyDescent="0.2">
      <c r="A324" s="6">
        <v>44883</v>
      </c>
      <c r="B324" s="16">
        <v>14.236499999999999</v>
      </c>
      <c r="C324" s="30">
        <v>2.0074999999999998</v>
      </c>
      <c r="D324" s="26">
        <v>111.504</v>
      </c>
      <c r="E324" s="17">
        <f t="shared" si="12"/>
        <v>-0.48021092077827532</v>
      </c>
      <c r="F324" s="17">
        <f t="shared" si="13"/>
        <v>-0.94603958719962755</v>
      </c>
      <c r="G324" s="17">
        <f t="shared" si="14"/>
        <v>-1.3785320887527448</v>
      </c>
    </row>
    <row r="325" spans="1:7" x14ac:dyDescent="0.2">
      <c r="A325" s="6">
        <v>44890</v>
      </c>
      <c r="B325" s="16">
        <v>14.3093</v>
      </c>
      <c r="C325" s="30">
        <v>1.9375</v>
      </c>
      <c r="D325" s="26">
        <v>97.475999999999999</v>
      </c>
      <c r="E325" s="17">
        <f t="shared" si="12"/>
        <v>-0.45294658908945479</v>
      </c>
      <c r="F325" s="17">
        <f t="shared" si="13"/>
        <v>-0.86650003630565653</v>
      </c>
      <c r="G325" s="17">
        <f t="shared" si="14"/>
        <v>-0.5845108558637514</v>
      </c>
    </row>
    <row r="326" spans="1:7" x14ac:dyDescent="0.2">
      <c r="A326" s="6">
        <v>44897</v>
      </c>
      <c r="B326" s="16">
        <v>14.195499999999999</v>
      </c>
      <c r="C326" s="30">
        <v>1.6174999999999999</v>
      </c>
      <c r="D326" s="26">
        <v>88.875</v>
      </c>
      <c r="E326" s="17">
        <f t="shared" ref="E326:E389" si="15">IF(ISNUMBER(B326),(B326-$J$6)/$J$7,"")</f>
        <v>-0.49556583285577038</v>
      </c>
      <c r="F326" s="17">
        <f t="shared" ref="F326:F389" si="16">IF(ISNUMBER(C326),-(C326-$J$8)/$J$9,"")</f>
        <v>-0.50289066079035938</v>
      </c>
      <c r="G326" s="17">
        <f t="shared" ref="G326:G389" si="17">IF(ISNUMBER(D326),-(D326-$J$10)/$J$11,"")</f>
        <v>-9.7671917734422242E-2</v>
      </c>
    </row>
    <row r="327" spans="1:7" x14ac:dyDescent="0.2">
      <c r="A327" s="6">
        <v>44904</v>
      </c>
      <c r="B327" s="16">
        <v>13.513400000000001</v>
      </c>
      <c r="C327" s="30">
        <v>1.5549999999999999</v>
      </c>
      <c r="D327" s="26">
        <v>101.58499999999999</v>
      </c>
      <c r="E327" s="17">
        <f t="shared" si="15"/>
        <v>-0.75101913841819112</v>
      </c>
      <c r="F327" s="17">
        <f t="shared" si="16"/>
        <v>-0.43187320463502787</v>
      </c>
      <c r="G327" s="17">
        <f t="shared" si="17"/>
        <v>-0.81709092757325152</v>
      </c>
    </row>
    <row r="328" spans="1:7" x14ac:dyDescent="0.2">
      <c r="A328" s="6">
        <v>44911</v>
      </c>
      <c r="B328" s="16">
        <v>13.7597</v>
      </c>
      <c r="C328" s="30">
        <v>1.4350000000000001</v>
      </c>
      <c r="D328" s="26">
        <v>99.013000000000005</v>
      </c>
      <c r="E328" s="17">
        <f t="shared" si="15"/>
        <v>-0.65877731293802055</v>
      </c>
      <c r="F328" s="17">
        <f t="shared" si="16"/>
        <v>-0.29551968881679158</v>
      </c>
      <c r="G328" s="17">
        <f t="shared" si="17"/>
        <v>-0.67150904769083919</v>
      </c>
    </row>
    <row r="329" spans="1:7" x14ac:dyDescent="0.2">
      <c r="A329" s="6">
        <v>44918</v>
      </c>
      <c r="B329" s="16">
        <v>13.5284</v>
      </c>
      <c r="C329" s="30">
        <v>1.35</v>
      </c>
      <c r="D329" s="26">
        <v>101.688</v>
      </c>
      <c r="E329" s="17">
        <f t="shared" si="15"/>
        <v>-0.74540148765813241</v>
      </c>
      <c r="F329" s="17">
        <f t="shared" si="16"/>
        <v>-0.19893594844554083</v>
      </c>
      <c r="G329" s="17">
        <f t="shared" si="17"/>
        <v>-0.82292099508020711</v>
      </c>
    </row>
    <row r="330" spans="1:7" x14ac:dyDescent="0.2">
      <c r="A330" s="6">
        <v>44925</v>
      </c>
      <c r="B330" s="16">
        <v>13.551500000000001</v>
      </c>
      <c r="C330" s="30">
        <v>1.175</v>
      </c>
      <c r="D330" s="26">
        <v>99.572000000000003</v>
      </c>
      <c r="E330" s="17">
        <f t="shared" si="15"/>
        <v>-0.73675030548764098</v>
      </c>
      <c r="F330" s="17">
        <f t="shared" si="16"/>
        <v>-8.7071210612688565E-5</v>
      </c>
      <c r="G330" s="17">
        <f t="shared" si="17"/>
        <v>-0.70314989950043028</v>
      </c>
    </row>
    <row r="331" spans="1:7" x14ac:dyDescent="0.2">
      <c r="A331" s="6">
        <v>44932</v>
      </c>
      <c r="B331" s="16">
        <v>13.244400000000001</v>
      </c>
      <c r="C331" s="30">
        <v>1.2849999999999999</v>
      </c>
      <c r="D331" s="26">
        <v>96.522000000000006</v>
      </c>
      <c r="E331" s="17">
        <f t="shared" si="15"/>
        <v>-0.85176234204858459</v>
      </c>
      <c r="F331" s="17">
        <f t="shared" si="16"/>
        <v>-0.12507779404399591</v>
      </c>
      <c r="G331" s="17">
        <f t="shared" si="17"/>
        <v>-0.53051197817797335</v>
      </c>
    </row>
    <row r="332" spans="1:7" x14ac:dyDescent="0.2">
      <c r="A332" s="6">
        <v>44939</v>
      </c>
      <c r="B332" s="16">
        <v>12.984500000000001</v>
      </c>
      <c r="C332" s="30">
        <v>0.65749999999999997</v>
      </c>
      <c r="D332" s="26">
        <v>89.123000000000005</v>
      </c>
      <c r="E332" s="17">
        <f t="shared" si="15"/>
        <v>-0.94909750421787542</v>
      </c>
      <c r="F332" s="17">
        <f t="shared" si="16"/>
        <v>0.58793746575553196</v>
      </c>
      <c r="G332" s="17">
        <f t="shared" si="17"/>
        <v>-0.11170936182883869</v>
      </c>
    </row>
    <row r="333" spans="1:7" x14ac:dyDescent="0.2">
      <c r="A333" s="6">
        <v>44946</v>
      </c>
      <c r="B333" s="16">
        <v>13.384399999999999</v>
      </c>
      <c r="C333" s="30">
        <v>0.66749999999999998</v>
      </c>
      <c r="D333" s="26">
        <v>86.653999999999996</v>
      </c>
      <c r="E333" s="17">
        <f t="shared" si="15"/>
        <v>-0.79933093495469998</v>
      </c>
      <c r="F333" s="17">
        <f t="shared" si="16"/>
        <v>0.57657467277067886</v>
      </c>
      <c r="G333" s="17">
        <f t="shared" si="17"/>
        <v>2.8042450546619722E-2</v>
      </c>
    </row>
    <row r="334" spans="1:7" x14ac:dyDescent="0.2">
      <c r="A334" s="6">
        <v>44953</v>
      </c>
      <c r="B334" s="16">
        <v>13.404299999999999</v>
      </c>
      <c r="C334" s="30">
        <v>0.55500000000000005</v>
      </c>
      <c r="D334" s="26">
        <v>84.197000000000003</v>
      </c>
      <c r="E334" s="17">
        <f t="shared" si="15"/>
        <v>-0.79187818494635498</v>
      </c>
      <c r="F334" s="17">
        <f t="shared" si="16"/>
        <v>0.70440609385027542</v>
      </c>
      <c r="G334" s="17">
        <f t="shared" si="17"/>
        <v>0.16711503175621845</v>
      </c>
    </row>
    <row r="335" spans="1:7" x14ac:dyDescent="0.2">
      <c r="A335" s="6">
        <v>44960</v>
      </c>
      <c r="B335" s="16">
        <v>13.3245</v>
      </c>
      <c r="C335" s="30">
        <v>0.53749999999999998</v>
      </c>
      <c r="D335" s="26">
        <v>78.905000000000001</v>
      </c>
      <c r="E335" s="17">
        <f t="shared" si="15"/>
        <v>-0.82176408698986891</v>
      </c>
      <c r="F335" s="17">
        <f t="shared" si="16"/>
        <v>0.72429098157376837</v>
      </c>
      <c r="G335" s="17">
        <f t="shared" si="17"/>
        <v>0.46665597589997043</v>
      </c>
    </row>
    <row r="336" spans="1:7" x14ac:dyDescent="0.2">
      <c r="A336" s="6">
        <v>44967</v>
      </c>
      <c r="B336" s="16">
        <v>13.4114</v>
      </c>
      <c r="C336" s="30">
        <v>0.71</v>
      </c>
      <c r="D336" s="26">
        <v>90.507999999999996</v>
      </c>
      <c r="E336" s="17">
        <f t="shared" si="15"/>
        <v>-0.78921916358659316</v>
      </c>
      <c r="F336" s="17">
        <f t="shared" si="16"/>
        <v>0.52828280258505345</v>
      </c>
      <c r="G336" s="17">
        <f t="shared" si="17"/>
        <v>-0.19010395888838019</v>
      </c>
    </row>
    <row r="337" spans="1:7" x14ac:dyDescent="0.2">
      <c r="A337" s="6">
        <v>44974</v>
      </c>
      <c r="B337" s="16">
        <v>13.330299999999999</v>
      </c>
      <c r="C337" s="30">
        <v>0.69499999999999995</v>
      </c>
      <c r="D337" s="26">
        <v>92.453000000000003</v>
      </c>
      <c r="E337" s="17">
        <f t="shared" si="15"/>
        <v>-0.81959192869597985</v>
      </c>
      <c r="F337" s="17">
        <f t="shared" si="16"/>
        <v>0.54532699206233304</v>
      </c>
      <c r="G337" s="17">
        <f t="shared" si="17"/>
        <v>-0.30019601035466886</v>
      </c>
    </row>
    <row r="338" spans="1:7" x14ac:dyDescent="0.2">
      <c r="A338" s="6">
        <v>44981</v>
      </c>
      <c r="B338" s="16">
        <v>13.2493</v>
      </c>
      <c r="C338" s="30">
        <v>0.66</v>
      </c>
      <c r="D338" s="26">
        <v>98.097999999999999</v>
      </c>
      <c r="E338" s="17">
        <f t="shared" si="15"/>
        <v>-0.84992724280029885</v>
      </c>
      <c r="F338" s="17">
        <f t="shared" si="16"/>
        <v>0.5850967675093186</v>
      </c>
      <c r="G338" s="17">
        <f t="shared" si="17"/>
        <v>-0.6197176712941016</v>
      </c>
    </row>
    <row r="339" spans="1:7" x14ac:dyDescent="0.2">
      <c r="A339" s="6">
        <v>44988</v>
      </c>
      <c r="B339" s="16">
        <v>12.697699999999999</v>
      </c>
      <c r="C339" s="30">
        <v>0.62250000000000005</v>
      </c>
      <c r="D339" s="26">
        <v>90.849000000000004</v>
      </c>
      <c r="E339" s="17">
        <f t="shared" si="15"/>
        <v>-1.0565069867502062</v>
      </c>
      <c r="F339" s="17">
        <f t="shared" si="16"/>
        <v>0.62770724120251742</v>
      </c>
      <c r="G339" s="17">
        <f t="shared" si="17"/>
        <v>-0.20940544451820292</v>
      </c>
    </row>
    <row r="340" spans="1:7" x14ac:dyDescent="0.2">
      <c r="A340" s="6">
        <v>44995</v>
      </c>
      <c r="B340" s="16">
        <v>12.6709</v>
      </c>
      <c r="C340" s="30">
        <v>0.69</v>
      </c>
      <c r="D340" s="26">
        <v>100.223</v>
      </c>
      <c r="E340" s="17">
        <f t="shared" si="15"/>
        <v>-1.0665438561081784</v>
      </c>
      <c r="F340" s="17">
        <f t="shared" si="16"/>
        <v>0.55100838855475953</v>
      </c>
      <c r="G340" s="17">
        <f t="shared" si="17"/>
        <v>-0.73999819024827262</v>
      </c>
    </row>
    <row r="341" spans="1:7" x14ac:dyDescent="0.2">
      <c r="A341" s="6">
        <v>45002</v>
      </c>
      <c r="B341" s="16">
        <v>12.6188</v>
      </c>
      <c r="C341" s="30">
        <v>0.94499999999999995</v>
      </c>
      <c r="D341" s="26">
        <v>105.039</v>
      </c>
      <c r="E341" s="17">
        <f t="shared" si="15"/>
        <v>-1.0860558297481167</v>
      </c>
      <c r="F341" s="17">
        <f t="shared" si="16"/>
        <v>0.26125716744100719</v>
      </c>
      <c r="G341" s="17">
        <f t="shared" si="17"/>
        <v>-1.0125962981462904</v>
      </c>
    </row>
    <row r="342" spans="1:7" x14ac:dyDescent="0.2">
      <c r="A342" s="6">
        <v>45009</v>
      </c>
      <c r="B342" s="16">
        <v>12.8919</v>
      </c>
      <c r="C342" s="30">
        <v>1.05</v>
      </c>
      <c r="D342" s="26">
        <v>111.057</v>
      </c>
      <c r="E342" s="17">
        <f t="shared" si="15"/>
        <v>-0.98377713490997398</v>
      </c>
      <c r="F342" s="17">
        <f t="shared" si="16"/>
        <v>0.14194784110005024</v>
      </c>
      <c r="G342" s="17">
        <f t="shared" si="17"/>
        <v>-1.3532307278245026</v>
      </c>
    </row>
    <row r="343" spans="1:7" x14ac:dyDescent="0.2">
      <c r="A343" s="6">
        <v>45016</v>
      </c>
      <c r="B343" s="16">
        <v>12.7242</v>
      </c>
      <c r="C343" s="30">
        <v>0.92749999999999999</v>
      </c>
      <c r="D343" s="26">
        <v>96.471000000000004</v>
      </c>
      <c r="E343" s="17">
        <f t="shared" si="15"/>
        <v>-1.0465824704074349</v>
      </c>
      <c r="F343" s="17">
        <f t="shared" si="16"/>
        <v>0.28114205516449997</v>
      </c>
      <c r="G343" s="17">
        <f t="shared" si="17"/>
        <v>-0.52762524572307312</v>
      </c>
    </row>
    <row r="344" spans="1:7" x14ac:dyDescent="0.2">
      <c r="A344" s="6">
        <v>45023</v>
      </c>
      <c r="B344" s="16">
        <v>12.827500000000001</v>
      </c>
      <c r="C344" s="30">
        <v>0.85250000000000004</v>
      </c>
      <c r="D344" s="26">
        <v>94.616</v>
      </c>
      <c r="E344" s="17">
        <f t="shared" si="15"/>
        <v>-1.0078955821731608</v>
      </c>
      <c r="F344" s="17">
        <f t="shared" si="16"/>
        <v>0.36636300255089765</v>
      </c>
      <c r="G344" s="17">
        <f t="shared" si="17"/>
        <v>-0.422627428000726</v>
      </c>
    </row>
    <row r="345" spans="1:7" x14ac:dyDescent="0.2">
      <c r="A345" s="6">
        <v>45030</v>
      </c>
      <c r="B345" s="16">
        <v>13.167299999999999</v>
      </c>
      <c r="C345" s="30">
        <v>0.79</v>
      </c>
      <c r="D345" s="26">
        <v>88.671999999999997</v>
      </c>
      <c r="E345" s="17">
        <f t="shared" si="15"/>
        <v>-0.88063706695528898</v>
      </c>
      <c r="F345" s="17">
        <f t="shared" si="16"/>
        <v>0.43738045870622916</v>
      </c>
      <c r="G345" s="17">
        <f t="shared" si="17"/>
        <v>-8.6181590511976561E-2</v>
      </c>
    </row>
    <row r="346" spans="1:7" x14ac:dyDescent="0.2">
      <c r="A346" s="6">
        <v>45037</v>
      </c>
      <c r="B346" s="16">
        <v>13.1532</v>
      </c>
      <c r="C346" s="30">
        <v>0.73250000000000004</v>
      </c>
      <c r="D346" s="26">
        <v>94.801000000000002</v>
      </c>
      <c r="E346" s="17">
        <f t="shared" si="15"/>
        <v>-0.88591765866974415</v>
      </c>
      <c r="F346" s="17">
        <f t="shared" si="16"/>
        <v>0.50271651836913411</v>
      </c>
      <c r="G346" s="17">
        <f t="shared" si="17"/>
        <v>-0.43309890847438337</v>
      </c>
    </row>
    <row r="347" spans="1:7" x14ac:dyDescent="0.2">
      <c r="A347" s="6">
        <v>45044</v>
      </c>
      <c r="B347" s="16">
        <v>13.2302</v>
      </c>
      <c r="C347" s="30">
        <v>0.70750000000000002</v>
      </c>
      <c r="D347" s="26">
        <v>95.906999999999996</v>
      </c>
      <c r="E347" s="17">
        <f t="shared" si="15"/>
        <v>-0.85708038476810744</v>
      </c>
      <c r="F347" s="17">
        <f t="shared" si="16"/>
        <v>0.53112350083126669</v>
      </c>
      <c r="G347" s="17">
        <f t="shared" si="17"/>
        <v>-0.49570138092770688</v>
      </c>
    </row>
    <row r="348" spans="1:7" x14ac:dyDescent="0.2">
      <c r="A348" s="6">
        <v>45051</v>
      </c>
      <c r="B348" s="16">
        <v>13.093500000000001</v>
      </c>
      <c r="C348" s="30">
        <v>0.62</v>
      </c>
      <c r="D348" s="26">
        <v>99.457999999999998</v>
      </c>
      <c r="E348" s="17">
        <f t="shared" si="15"/>
        <v>-0.90827590869477925</v>
      </c>
      <c r="F348" s="17">
        <f t="shared" si="16"/>
        <v>0.63054793944873078</v>
      </c>
      <c r="G348" s="17">
        <f t="shared" si="17"/>
        <v>-0.69669720342477104</v>
      </c>
    </row>
    <row r="349" spans="1:7" x14ac:dyDescent="0.2">
      <c r="A349" s="6">
        <v>45058</v>
      </c>
      <c r="B349" s="16">
        <v>12.793799999999999</v>
      </c>
      <c r="C349" s="30">
        <v>0.625</v>
      </c>
      <c r="D349" s="26">
        <v>95.379000000000005</v>
      </c>
      <c r="E349" s="17">
        <f t="shared" si="15"/>
        <v>-1.0205165708807609</v>
      </c>
      <c r="F349" s="17">
        <f t="shared" si="16"/>
        <v>0.62486654295630428</v>
      </c>
      <c r="G349" s="17">
        <f t="shared" si="17"/>
        <v>-0.46581520962991801</v>
      </c>
    </row>
    <row r="350" spans="1:7" x14ac:dyDescent="0.2">
      <c r="A350" s="6">
        <v>45065</v>
      </c>
      <c r="B350" s="16">
        <v>12.935499999999999</v>
      </c>
      <c r="C350" s="30">
        <v>0.61750000000000005</v>
      </c>
      <c r="D350" s="26">
        <v>91.506</v>
      </c>
      <c r="E350" s="17">
        <f t="shared" si="15"/>
        <v>-0.96744849670073563</v>
      </c>
      <c r="F350" s="17">
        <f t="shared" si="16"/>
        <v>0.63338863769494391</v>
      </c>
      <c r="G350" s="17">
        <f t="shared" si="17"/>
        <v>-0.24659335084897463</v>
      </c>
    </row>
    <row r="351" spans="1:7" x14ac:dyDescent="0.2">
      <c r="A351" s="6">
        <v>45072</v>
      </c>
      <c r="B351" s="16">
        <v>13.098000000000001</v>
      </c>
      <c r="C351" s="30">
        <v>0.61250000000000004</v>
      </c>
      <c r="D351" s="26">
        <v>92.022000000000006</v>
      </c>
      <c r="E351" s="17">
        <f t="shared" si="15"/>
        <v>-0.9065906134667614</v>
      </c>
      <c r="F351" s="17">
        <f t="shared" si="16"/>
        <v>0.63907003418737052</v>
      </c>
      <c r="G351" s="17">
        <f t="shared" si="17"/>
        <v>-0.27580029098090542</v>
      </c>
    </row>
    <row r="352" spans="1:7" x14ac:dyDescent="0.2">
      <c r="A352" s="6">
        <v>45079</v>
      </c>
      <c r="B352" s="16">
        <v>14.9276</v>
      </c>
      <c r="C352" s="30">
        <v>0.68500000000000005</v>
      </c>
      <c r="D352" s="26">
        <v>87.009</v>
      </c>
      <c r="E352" s="17">
        <f t="shared" si="15"/>
        <v>-0.22138702475981833</v>
      </c>
      <c r="F352" s="17">
        <f t="shared" si="16"/>
        <v>0.55668978504718603</v>
      </c>
      <c r="G352" s="17">
        <f t="shared" si="17"/>
        <v>7.9485285566285816E-3</v>
      </c>
    </row>
    <row r="353" spans="1:7" x14ac:dyDescent="0.2">
      <c r="A353" s="6">
        <v>45086</v>
      </c>
      <c r="B353" s="16">
        <v>14.8909</v>
      </c>
      <c r="C353" s="30">
        <v>0.52</v>
      </c>
      <c r="D353" s="26">
        <v>84.295000000000002</v>
      </c>
      <c r="E353" s="17">
        <f t="shared" si="15"/>
        <v>-0.23513154361942951</v>
      </c>
      <c r="F353" s="17">
        <f t="shared" si="16"/>
        <v>0.74417586929726109</v>
      </c>
      <c r="G353" s="17">
        <f t="shared" si="17"/>
        <v>0.16156797723503794</v>
      </c>
    </row>
    <row r="354" spans="1:7" x14ac:dyDescent="0.2">
      <c r="A354" s="6">
        <v>45093</v>
      </c>
      <c r="B354" s="16">
        <v>14.874599999999999</v>
      </c>
      <c r="C354" s="30">
        <v>0.42749999999999999</v>
      </c>
      <c r="D354" s="26">
        <v>82.963999999999999</v>
      </c>
      <c r="E354" s="17">
        <f t="shared" si="15"/>
        <v>-0.24123605744536084</v>
      </c>
      <c r="F354" s="17">
        <f t="shared" si="16"/>
        <v>0.84928170440715167</v>
      </c>
      <c r="G354" s="17">
        <f t="shared" si="17"/>
        <v>0.23690603404821531</v>
      </c>
    </row>
    <row r="355" spans="1:7" x14ac:dyDescent="0.2">
      <c r="A355" s="6">
        <v>45100</v>
      </c>
      <c r="B355" s="16">
        <v>14.699</v>
      </c>
      <c r="C355" s="30">
        <v>0.52749999999999997</v>
      </c>
      <c r="D355" s="26">
        <v>87.808999999999997</v>
      </c>
      <c r="E355" s="17">
        <f t="shared" si="15"/>
        <v>-0.30700002234311924</v>
      </c>
      <c r="F355" s="17">
        <f t="shared" si="16"/>
        <v>0.73565377455862135</v>
      </c>
      <c r="G355" s="17">
        <f t="shared" si="17"/>
        <v>-3.733354916729445E-2</v>
      </c>
    </row>
    <row r="356" spans="1:7" x14ac:dyDescent="0.2">
      <c r="A356" s="6">
        <v>45107</v>
      </c>
      <c r="B356" s="16">
        <v>14.787800000000001</v>
      </c>
      <c r="C356" s="30">
        <v>0.55000000000000004</v>
      </c>
      <c r="D356" s="26">
        <v>86.119</v>
      </c>
      <c r="E356" s="17">
        <f t="shared" si="15"/>
        <v>-0.27374352984356898</v>
      </c>
      <c r="F356" s="17">
        <f t="shared" si="16"/>
        <v>0.71008749034270191</v>
      </c>
      <c r="G356" s="17">
        <f t="shared" si="17"/>
        <v>5.832484002449316E-2</v>
      </c>
    </row>
    <row r="357" spans="1:7" x14ac:dyDescent="0.2">
      <c r="A357" s="6">
        <v>45114</v>
      </c>
      <c r="B357" s="16">
        <v>14.8048</v>
      </c>
      <c r="C357" s="30">
        <v>0.59750000000000003</v>
      </c>
      <c r="D357" s="26">
        <v>87.116</v>
      </c>
      <c r="E357" s="17">
        <f t="shared" si="15"/>
        <v>-0.26737685898216884</v>
      </c>
      <c r="F357" s="17">
        <f t="shared" si="16"/>
        <v>0.65611422366465</v>
      </c>
      <c r="G357" s="17">
        <f t="shared" si="17"/>
        <v>1.8920506610538934E-3</v>
      </c>
    </row>
    <row r="358" spans="1:7" x14ac:dyDescent="0.2">
      <c r="A358" s="6">
        <v>45121</v>
      </c>
      <c r="B358" s="16">
        <v>15.0909</v>
      </c>
      <c r="C358" s="30">
        <v>0.53749999999999998</v>
      </c>
      <c r="D358" s="26">
        <v>81.328000000000003</v>
      </c>
      <c r="E358" s="17">
        <f t="shared" si="15"/>
        <v>-0.1602295334853083</v>
      </c>
      <c r="F358" s="17">
        <f t="shared" si="16"/>
        <v>0.72429098157376837</v>
      </c>
      <c r="G358" s="17">
        <f t="shared" si="17"/>
        <v>0.32950788299363798</v>
      </c>
    </row>
    <row r="359" spans="1:7" x14ac:dyDescent="0.2">
      <c r="A359" s="6">
        <v>45128</v>
      </c>
      <c r="B359" s="16">
        <v>15.1267</v>
      </c>
      <c r="C359" s="30">
        <v>0.54249999999999998</v>
      </c>
      <c r="D359" s="26">
        <v>82.605999999999995</v>
      </c>
      <c r="E359" s="17">
        <f t="shared" si="15"/>
        <v>-0.14682207367130054</v>
      </c>
      <c r="F359" s="17">
        <f t="shared" si="16"/>
        <v>0.71860958508134176</v>
      </c>
      <c r="G359" s="17">
        <f t="shared" si="17"/>
        <v>0.25716976382967116</v>
      </c>
    </row>
    <row r="360" spans="1:7" x14ac:dyDescent="0.2">
      <c r="A360" s="6">
        <v>45135</v>
      </c>
      <c r="B360" s="16">
        <v>15.0869</v>
      </c>
      <c r="C360" s="30">
        <v>0.66500000000000004</v>
      </c>
      <c r="D360" s="26">
        <v>75.66</v>
      </c>
      <c r="E360" s="17">
        <f t="shared" si="15"/>
        <v>-0.16172757368799057</v>
      </c>
      <c r="F360" s="17">
        <f t="shared" si="16"/>
        <v>0.57941537101689211</v>
      </c>
      <c r="G360" s="17">
        <f t="shared" si="17"/>
        <v>0.65033140366763409</v>
      </c>
    </row>
    <row r="361" spans="1:7" x14ac:dyDescent="0.2">
      <c r="A361" s="6">
        <v>45142</v>
      </c>
      <c r="B361" s="16">
        <v>15.0054</v>
      </c>
      <c r="C361" s="30">
        <v>0.6825</v>
      </c>
      <c r="D361" s="26">
        <v>78.001999999999995</v>
      </c>
      <c r="E361" s="17">
        <f t="shared" si="15"/>
        <v>-0.1922501428176451</v>
      </c>
      <c r="F361" s="17">
        <f t="shared" si="16"/>
        <v>0.55953048329339927</v>
      </c>
      <c r="G361" s="17">
        <f t="shared" si="17"/>
        <v>0.51776812113084902</v>
      </c>
    </row>
    <row r="362" spans="1:7" x14ac:dyDescent="0.2">
      <c r="A362" s="6">
        <v>45149</v>
      </c>
      <c r="B362" s="16">
        <v>15.0914</v>
      </c>
      <c r="C362" s="30">
        <v>0.6825</v>
      </c>
      <c r="D362" s="26">
        <v>80.349999999999994</v>
      </c>
      <c r="E362" s="17">
        <f t="shared" si="15"/>
        <v>-0.16004227845997276</v>
      </c>
      <c r="F362" s="17">
        <f t="shared" si="16"/>
        <v>0.55953048329339927</v>
      </c>
      <c r="G362" s="17">
        <f t="shared" si="17"/>
        <v>0.38486522301113457</v>
      </c>
    </row>
    <row r="363" spans="1:7" x14ac:dyDescent="0.2">
      <c r="A363" s="6">
        <v>45156</v>
      </c>
      <c r="B363" s="16">
        <v>14.8437</v>
      </c>
      <c r="C363" s="30">
        <v>0.67</v>
      </c>
      <c r="D363" s="26">
        <v>91.849000000000004</v>
      </c>
      <c r="E363" s="17">
        <f t="shared" si="15"/>
        <v>-0.25280841801108223</v>
      </c>
      <c r="F363" s="17">
        <f t="shared" si="16"/>
        <v>0.57373397452446551</v>
      </c>
      <c r="G363" s="17">
        <f t="shared" si="17"/>
        <v>-0.26600804167310688</v>
      </c>
    </row>
    <row r="364" spans="1:7" x14ac:dyDescent="0.2">
      <c r="A364" s="6">
        <v>45163</v>
      </c>
      <c r="B364" s="16">
        <v>14.960900000000001</v>
      </c>
      <c r="C364" s="30">
        <v>0.54</v>
      </c>
      <c r="D364" s="26">
        <v>87.53</v>
      </c>
      <c r="E364" s="17">
        <f t="shared" si="15"/>
        <v>-0.2089158400724869</v>
      </c>
      <c r="F364" s="17">
        <f t="shared" si="16"/>
        <v>0.72145028332755501</v>
      </c>
      <c r="G364" s="17">
        <f t="shared" si="17"/>
        <v>-2.1541424561076439E-2</v>
      </c>
    </row>
    <row r="365" spans="1:7" x14ac:dyDescent="0.2">
      <c r="A365" s="6">
        <v>45170</v>
      </c>
      <c r="B365" s="16">
        <v>15.0372</v>
      </c>
      <c r="C365" s="30">
        <v>0.44</v>
      </c>
      <c r="D365" s="26">
        <v>79.403999999999996</v>
      </c>
      <c r="E365" s="17">
        <f t="shared" si="15"/>
        <v>-0.18034072320631961</v>
      </c>
      <c r="F365" s="17">
        <f t="shared" si="16"/>
        <v>0.83507821317608544</v>
      </c>
      <c r="G365" s="17">
        <f t="shared" si="17"/>
        <v>0.4384112799196736</v>
      </c>
    </row>
    <row r="366" spans="1:7" x14ac:dyDescent="0.2">
      <c r="A366" s="6">
        <v>45177</v>
      </c>
      <c r="B366" s="16">
        <v>14.801299999999999</v>
      </c>
      <c r="C366" s="30">
        <v>0.41</v>
      </c>
      <c r="D366" s="26">
        <v>80.316999999999993</v>
      </c>
      <c r="E366" s="17">
        <f t="shared" si="15"/>
        <v>-0.26868764415951624</v>
      </c>
      <c r="F366" s="17">
        <f t="shared" si="16"/>
        <v>0.86916659213064451</v>
      </c>
      <c r="G366" s="17">
        <f t="shared" si="17"/>
        <v>0.38673310871724648</v>
      </c>
    </row>
    <row r="367" spans="1:7" x14ac:dyDescent="0.2">
      <c r="A367" s="6">
        <v>45184</v>
      </c>
      <c r="B367" s="16">
        <v>14.8217</v>
      </c>
      <c r="C367" s="30">
        <v>0.41</v>
      </c>
      <c r="D367" s="26">
        <v>78.37</v>
      </c>
      <c r="E367" s="17">
        <f t="shared" si="15"/>
        <v>-0.26104763912583567</v>
      </c>
      <c r="F367" s="17">
        <f t="shared" si="16"/>
        <v>0.86916659213064451</v>
      </c>
      <c r="G367" s="17">
        <f t="shared" si="17"/>
        <v>0.49693836537784386</v>
      </c>
    </row>
    <row r="368" spans="1:7" x14ac:dyDescent="0.2">
      <c r="A368" s="6">
        <v>45191</v>
      </c>
      <c r="B368" s="16">
        <v>14.9298</v>
      </c>
      <c r="C368" s="30">
        <v>0.44</v>
      </c>
      <c r="D368" s="26">
        <v>89.83</v>
      </c>
      <c r="E368" s="17">
        <f t="shared" si="15"/>
        <v>-0.22056310264834292</v>
      </c>
      <c r="F368" s="17">
        <f t="shared" si="16"/>
        <v>0.83507821317608544</v>
      </c>
      <c r="G368" s="17">
        <f t="shared" si="17"/>
        <v>-0.15172739801735544</v>
      </c>
    </row>
    <row r="369" spans="1:7" x14ac:dyDescent="0.2">
      <c r="A369" s="6">
        <v>45198</v>
      </c>
      <c r="B369" s="16">
        <v>14.6297</v>
      </c>
      <c r="C369" s="30">
        <v>0.53</v>
      </c>
      <c r="D369" s="26">
        <v>92.941000000000003</v>
      </c>
      <c r="E369" s="17">
        <f t="shared" si="15"/>
        <v>-0.33295356885459237</v>
      </c>
      <c r="F369" s="17">
        <f t="shared" si="16"/>
        <v>0.732813076312408</v>
      </c>
      <c r="G369" s="17">
        <f t="shared" si="17"/>
        <v>-0.32781807776626198</v>
      </c>
    </row>
    <row r="370" spans="1:7" x14ac:dyDescent="0.2">
      <c r="A370" s="6">
        <v>45205</v>
      </c>
      <c r="B370" s="16">
        <v>14.516</v>
      </c>
      <c r="C370" s="30">
        <v>0.73499999999999999</v>
      </c>
      <c r="D370" s="26">
        <v>99.527000000000001</v>
      </c>
      <c r="E370" s="17">
        <f t="shared" si="15"/>
        <v>-0.37553536161584034</v>
      </c>
      <c r="F370" s="17">
        <f t="shared" si="16"/>
        <v>0.49987582012292087</v>
      </c>
      <c r="G370" s="17">
        <f t="shared" si="17"/>
        <v>-0.70060278262845954</v>
      </c>
    </row>
    <row r="371" spans="1:7" x14ac:dyDescent="0.2">
      <c r="A371" s="6">
        <v>45212</v>
      </c>
      <c r="B371" s="16">
        <v>14.414899999999999</v>
      </c>
      <c r="C371" s="30">
        <v>0.6825</v>
      </c>
      <c r="D371" s="26">
        <v>95.703000000000003</v>
      </c>
      <c r="E371" s="17">
        <f t="shared" si="15"/>
        <v>-0.41339832773863899</v>
      </c>
      <c r="F371" s="17">
        <f t="shared" si="16"/>
        <v>0.55953048329339927</v>
      </c>
      <c r="G371" s="17">
        <f t="shared" si="17"/>
        <v>-0.48415445110810684</v>
      </c>
    </row>
    <row r="372" spans="1:7" x14ac:dyDescent="0.2">
      <c r="A372" s="6">
        <v>45219</v>
      </c>
      <c r="B372" s="16">
        <v>13.980499999999999</v>
      </c>
      <c r="C372" s="30">
        <v>0.82499999999999996</v>
      </c>
      <c r="D372" s="26">
        <v>102.367</v>
      </c>
      <c r="E372" s="17">
        <f t="shared" si="15"/>
        <v>-0.57608549374995088</v>
      </c>
      <c r="F372" s="17">
        <f t="shared" si="16"/>
        <v>0.39761068325924359</v>
      </c>
      <c r="G372" s="17">
        <f t="shared" si="17"/>
        <v>-0.86135415854838704</v>
      </c>
    </row>
    <row r="373" spans="1:7" x14ac:dyDescent="0.2">
      <c r="A373" s="6">
        <v>45226</v>
      </c>
      <c r="B373" s="16">
        <v>13.681699999999999</v>
      </c>
      <c r="C373" s="30">
        <v>0.81</v>
      </c>
      <c r="D373" s="26">
        <v>101.10599999999999</v>
      </c>
      <c r="E373" s="17">
        <f t="shared" si="15"/>
        <v>-0.68798909689032839</v>
      </c>
      <c r="F373" s="17">
        <f t="shared" si="16"/>
        <v>0.41465487273652307</v>
      </c>
      <c r="G373" s="17">
        <f t="shared" si="17"/>
        <v>-0.78997828353605259</v>
      </c>
    </row>
    <row r="374" spans="1:7" x14ac:dyDescent="0.2">
      <c r="A374" s="6">
        <v>45233</v>
      </c>
      <c r="B374" s="16">
        <v>13.817500000000001</v>
      </c>
      <c r="C374" s="30">
        <v>0.60499999999999998</v>
      </c>
      <c r="D374" s="26">
        <v>86.844999999999999</v>
      </c>
      <c r="E374" s="17">
        <f t="shared" si="15"/>
        <v>-0.63713063200925935</v>
      </c>
      <c r="F374" s="17">
        <f t="shared" si="16"/>
        <v>0.64759212892601037</v>
      </c>
      <c r="G374" s="17">
        <f t="shared" si="17"/>
        <v>1.7231354490032918E-2</v>
      </c>
    </row>
    <row r="375" spans="1:7" x14ac:dyDescent="0.2">
      <c r="A375" s="6">
        <v>45240</v>
      </c>
      <c r="B375" s="16">
        <v>13.786899999999999</v>
      </c>
      <c r="C375" s="30">
        <v>0.33500000000000002</v>
      </c>
      <c r="D375" s="26">
        <v>86.778999999999996</v>
      </c>
      <c r="E375" s="17">
        <f t="shared" si="15"/>
        <v>-0.64859063955978047</v>
      </c>
      <c r="F375" s="17">
        <f t="shared" si="16"/>
        <v>0.95438753951704225</v>
      </c>
      <c r="G375" s="17">
        <f t="shared" si="17"/>
        <v>2.0967125902256724E-2</v>
      </c>
    </row>
    <row r="376" spans="1:7" x14ac:dyDescent="0.2">
      <c r="A376" s="6">
        <v>45247</v>
      </c>
      <c r="B376" s="16">
        <v>14.073</v>
      </c>
      <c r="C376" s="30">
        <v>0.23499999999999999</v>
      </c>
      <c r="D376" s="26">
        <v>76.94</v>
      </c>
      <c r="E376" s="17">
        <f t="shared" si="15"/>
        <v>-0.54144331406291935</v>
      </c>
      <c r="F376" s="17">
        <f t="shared" si="16"/>
        <v>1.0680154693655726</v>
      </c>
      <c r="G376" s="17">
        <f t="shared" si="17"/>
        <v>0.57788007930935692</v>
      </c>
    </row>
    <row r="377" spans="1:7" x14ac:dyDescent="0.2">
      <c r="A377" s="6">
        <v>45254</v>
      </c>
      <c r="B377" s="16">
        <v>14.1333</v>
      </c>
      <c r="C377" s="30">
        <v>0.44</v>
      </c>
      <c r="D377" s="26">
        <v>74.876999999999995</v>
      </c>
      <c r="E377" s="17">
        <f t="shared" si="15"/>
        <v>-0.51886035800748176</v>
      </c>
      <c r="F377" s="17">
        <f t="shared" si="16"/>
        <v>0.83507821317608544</v>
      </c>
      <c r="G377" s="17">
        <f t="shared" si="17"/>
        <v>0.69465123723992406</v>
      </c>
    </row>
    <row r="378" spans="1:7" x14ac:dyDescent="0.2">
      <c r="A378" s="6">
        <v>45261</v>
      </c>
      <c r="B378" s="16">
        <v>14.5679</v>
      </c>
      <c r="C378" s="30">
        <v>0.42</v>
      </c>
      <c r="D378" s="26">
        <v>74.846000000000004</v>
      </c>
      <c r="E378" s="17">
        <f t="shared" si="15"/>
        <v>-0.35609828998603588</v>
      </c>
      <c r="F378" s="17">
        <f t="shared" si="16"/>
        <v>0.85780379914579152</v>
      </c>
      <c r="G378" s="17">
        <f t="shared" si="17"/>
        <v>0.69640591775172556</v>
      </c>
    </row>
    <row r="379" spans="1:7" x14ac:dyDescent="0.2">
      <c r="A379" s="6">
        <v>45268</v>
      </c>
      <c r="B379" s="16">
        <v>14.555199999999999</v>
      </c>
      <c r="C379" s="30">
        <v>0.37</v>
      </c>
      <c r="D379" s="26">
        <v>75.072000000000003</v>
      </c>
      <c r="E379" s="17">
        <f t="shared" si="15"/>
        <v>-0.36085456762955281</v>
      </c>
      <c r="F379" s="17">
        <f t="shared" si="16"/>
        <v>0.91461776407005657</v>
      </c>
      <c r="G379" s="17">
        <f t="shared" si="17"/>
        <v>0.68361373079471732</v>
      </c>
    </row>
    <row r="380" spans="1:7" x14ac:dyDescent="0.2">
      <c r="A380" s="6">
        <v>45275</v>
      </c>
      <c r="B380" s="16">
        <v>14.8109</v>
      </c>
      <c r="C380" s="30">
        <v>0.315</v>
      </c>
      <c r="D380" s="26">
        <v>71.218000000000004</v>
      </c>
      <c r="E380" s="17">
        <f t="shared" si="15"/>
        <v>-0.26509234767307815</v>
      </c>
      <c r="F380" s="17">
        <f t="shared" si="16"/>
        <v>0.97711312548674834</v>
      </c>
      <c r="G380" s="17">
        <f t="shared" si="17"/>
        <v>0.90176014022971729</v>
      </c>
    </row>
    <row r="381" spans="1:7" x14ac:dyDescent="0.2">
      <c r="A381" s="6">
        <v>45282</v>
      </c>
      <c r="B381" s="16">
        <v>14.896000000000001</v>
      </c>
      <c r="C381" s="30">
        <v>0.26500000000000001</v>
      </c>
      <c r="D381" s="26">
        <v>72.245000000000005</v>
      </c>
      <c r="E381" s="17">
        <f t="shared" si="15"/>
        <v>-0.23322154236100923</v>
      </c>
      <c r="F381" s="17">
        <f t="shared" si="16"/>
        <v>1.0339270904110134</v>
      </c>
      <c r="G381" s="17">
        <f t="shared" si="17"/>
        <v>0.84362927295163082</v>
      </c>
    </row>
    <row r="382" spans="1:7" x14ac:dyDescent="0.2">
      <c r="A382" s="6">
        <v>45289</v>
      </c>
      <c r="B382" s="16">
        <v>14.991400000000001</v>
      </c>
      <c r="C382" s="30">
        <v>0.255</v>
      </c>
      <c r="D382" s="26">
        <v>71.995000000000005</v>
      </c>
      <c r="E382" s="17">
        <f t="shared" si="15"/>
        <v>-0.19749328352703338</v>
      </c>
      <c r="F382" s="17">
        <f t="shared" si="16"/>
        <v>1.0452898833958666</v>
      </c>
      <c r="G382" s="17">
        <f t="shared" si="17"/>
        <v>0.85777992224035682</v>
      </c>
    </row>
    <row r="383" spans="1:7" x14ac:dyDescent="0.2">
      <c r="A383" s="6">
        <v>45296</v>
      </c>
      <c r="B383" s="16">
        <v>15.182</v>
      </c>
      <c r="C383" s="30">
        <v>0.22500000000000001</v>
      </c>
      <c r="D383" s="26">
        <v>76.944999999999993</v>
      </c>
      <c r="E383" s="17">
        <f t="shared" si="15"/>
        <v>-0.12611166786921563</v>
      </c>
      <c r="F383" s="17">
        <f t="shared" si="16"/>
        <v>1.0793782623504256</v>
      </c>
      <c r="G383" s="17">
        <f t="shared" si="17"/>
        <v>0.57759706632358265</v>
      </c>
    </row>
    <row r="384" spans="1:7" x14ac:dyDescent="0.2">
      <c r="A384" s="6">
        <v>45303</v>
      </c>
      <c r="B384" s="16">
        <v>15.471500000000001</v>
      </c>
      <c r="C384" s="30">
        <v>0.2475</v>
      </c>
      <c r="D384" s="26">
        <v>73.989000000000004</v>
      </c>
      <c r="E384" s="17">
        <f t="shared" si="15"/>
        <v>-1.7691008200074666E-2</v>
      </c>
      <c r="F384" s="17">
        <f t="shared" si="16"/>
        <v>1.0538119781345061</v>
      </c>
      <c r="G384" s="17">
        <f t="shared" si="17"/>
        <v>0.74491434351347829</v>
      </c>
    </row>
    <row r="385" spans="1:7" x14ac:dyDescent="0.2">
      <c r="A385" s="6">
        <v>45310</v>
      </c>
      <c r="B385" s="16">
        <v>15.3245</v>
      </c>
      <c r="C385" s="30">
        <v>0.29499999999999998</v>
      </c>
      <c r="D385" s="26">
        <v>74.257999999999996</v>
      </c>
      <c r="E385" s="17">
        <f t="shared" si="15"/>
        <v>-7.2743985648654058E-2</v>
      </c>
      <c r="F385" s="17">
        <f t="shared" si="16"/>
        <v>0.99983871145645442</v>
      </c>
      <c r="G385" s="17">
        <f t="shared" si="17"/>
        <v>0.72968824487880957</v>
      </c>
    </row>
    <row r="386" spans="1:7" x14ac:dyDescent="0.2">
      <c r="A386" s="6">
        <v>45317</v>
      </c>
      <c r="B386" s="16">
        <v>14.8544</v>
      </c>
      <c r="C386" s="30">
        <v>0.505</v>
      </c>
      <c r="D386" s="26">
        <v>75.61</v>
      </c>
      <c r="E386" s="17">
        <f t="shared" si="15"/>
        <v>-0.24880116046890677</v>
      </c>
      <c r="F386" s="17">
        <f t="shared" si="16"/>
        <v>0.76122005877454069</v>
      </c>
      <c r="G386" s="17">
        <f t="shared" si="17"/>
        <v>0.6531615335253792</v>
      </c>
    </row>
    <row r="387" spans="1:7" x14ac:dyDescent="0.2">
      <c r="A387" s="6">
        <v>45324</v>
      </c>
      <c r="B387" s="16">
        <v>15.2227</v>
      </c>
      <c r="C387" s="30">
        <v>0.44</v>
      </c>
      <c r="D387" s="26">
        <v>74.379000000000005</v>
      </c>
      <c r="E387" s="17">
        <f t="shared" si="15"/>
        <v>-0.11086910880692218</v>
      </c>
      <c r="F387" s="17">
        <f t="shared" si="16"/>
        <v>0.83507821317608544</v>
      </c>
      <c r="G387" s="17">
        <f t="shared" si="17"/>
        <v>0.72283933062306571</v>
      </c>
    </row>
    <row r="388" spans="1:7" x14ac:dyDescent="0.2">
      <c r="A388" s="6">
        <v>45331</v>
      </c>
      <c r="B388" s="16">
        <v>15.227600000000001</v>
      </c>
      <c r="C388" s="30">
        <v>0.4</v>
      </c>
      <c r="D388" s="26">
        <v>73.393000000000001</v>
      </c>
      <c r="E388" s="17">
        <f t="shared" si="15"/>
        <v>-0.10903400955863582</v>
      </c>
      <c r="F388" s="17">
        <f t="shared" si="16"/>
        <v>0.8805293851154975</v>
      </c>
      <c r="G388" s="17">
        <f t="shared" si="17"/>
        <v>0.77864949141780126</v>
      </c>
    </row>
    <row r="389" spans="1:7" x14ac:dyDescent="0.2">
      <c r="A389" s="6">
        <v>45338</v>
      </c>
      <c r="B389" s="16">
        <v>15.6677</v>
      </c>
      <c r="C389" s="30">
        <v>0.42499999999999999</v>
      </c>
      <c r="D389" s="26">
        <v>70.733999999999995</v>
      </c>
      <c r="E389" s="17">
        <f t="shared" si="15"/>
        <v>5.5787863741498238E-2</v>
      </c>
      <c r="F389" s="17">
        <f t="shared" si="16"/>
        <v>0.85212240265336492</v>
      </c>
      <c r="G389" s="17">
        <f t="shared" si="17"/>
        <v>0.92915579725269126</v>
      </c>
    </row>
    <row r="390" spans="1:7" x14ac:dyDescent="0.2">
      <c r="A390" s="6">
        <v>45345</v>
      </c>
      <c r="B390" s="16">
        <v>15.4472</v>
      </c>
      <c r="C390" s="30">
        <v>0.35499999999999998</v>
      </c>
      <c r="D390" s="26">
        <v>68.343999999999994</v>
      </c>
      <c r="E390" s="17">
        <f t="shared" ref="E390:E453" si="18">IF(ISNUMBER(B390),(B390-$J$6)/$J$7,"")</f>
        <v>-2.6791602431370506E-2</v>
      </c>
      <c r="F390" s="17">
        <f t="shared" ref="F390:F453" si="19">IF(ISNUMBER(C390),-(C390-$J$8)/$J$9,"")</f>
        <v>0.93166195354733616</v>
      </c>
      <c r="G390" s="17">
        <f t="shared" ref="G390:G453" si="20">IF(ISNUMBER(D390),-(D390-$J$10)/$J$11,"")</f>
        <v>1.0644360044529118</v>
      </c>
    </row>
    <row r="391" spans="1:7" x14ac:dyDescent="0.2">
      <c r="A391" s="6">
        <v>45352</v>
      </c>
      <c r="B391" s="16">
        <v>15.162800000000001</v>
      </c>
      <c r="C391" s="30">
        <v>0.315</v>
      </c>
      <c r="D391" s="26">
        <v>68.945999999999998</v>
      </c>
      <c r="E391" s="17">
        <f t="shared" si="18"/>
        <v>-0.13330226084209118</v>
      </c>
      <c r="F391" s="17">
        <f t="shared" si="19"/>
        <v>0.97711312548674834</v>
      </c>
      <c r="G391" s="17">
        <f t="shared" si="20"/>
        <v>1.0303612409656595</v>
      </c>
    </row>
    <row r="392" spans="1:7" x14ac:dyDescent="0.2">
      <c r="A392" s="6">
        <v>45359</v>
      </c>
      <c r="B392" s="16">
        <v>15.4185</v>
      </c>
      <c r="C392" s="30">
        <v>0.26</v>
      </c>
      <c r="D392" s="26">
        <v>69.77</v>
      </c>
      <c r="E392" s="17">
        <f t="shared" si="18"/>
        <v>-3.7540040885617174E-2</v>
      </c>
      <c r="F392" s="17">
        <f t="shared" si="19"/>
        <v>1.0396084869034399</v>
      </c>
      <c r="G392" s="17">
        <f t="shared" si="20"/>
        <v>0.98372070091001862</v>
      </c>
    </row>
    <row r="393" spans="1:7" x14ac:dyDescent="0.2">
      <c r="A393" s="6">
        <v>45366</v>
      </c>
      <c r="B393" s="16">
        <v>15.3649</v>
      </c>
      <c r="C393" s="30">
        <v>0.26500000000000001</v>
      </c>
      <c r="D393" s="26">
        <v>68.769000000000005</v>
      </c>
      <c r="E393" s="17">
        <f t="shared" si="18"/>
        <v>-5.7613779601561513E-2</v>
      </c>
      <c r="F393" s="17">
        <f t="shared" si="19"/>
        <v>1.0339270904110134</v>
      </c>
      <c r="G393" s="17">
        <f t="shared" si="20"/>
        <v>1.0403799006620771</v>
      </c>
    </row>
    <row r="394" spans="1:7" x14ac:dyDescent="0.2">
      <c r="A394" s="6">
        <v>45373</v>
      </c>
      <c r="B394" s="16">
        <v>15.2348</v>
      </c>
      <c r="C394" s="30">
        <v>0.56499999999999995</v>
      </c>
      <c r="D394" s="26">
        <v>71.328000000000003</v>
      </c>
      <c r="E394" s="17">
        <f t="shared" si="18"/>
        <v>-0.10633753719380774</v>
      </c>
      <c r="F394" s="17">
        <f t="shared" si="19"/>
        <v>0.69304330086542254</v>
      </c>
      <c r="G394" s="17">
        <f t="shared" si="20"/>
        <v>0.89553385454267787</v>
      </c>
    </row>
    <row r="395" spans="1:7" x14ac:dyDescent="0.2">
      <c r="A395" s="6">
        <v>45380</v>
      </c>
      <c r="B395" s="16">
        <v>14.027100000000001</v>
      </c>
      <c r="C395" s="30">
        <v>0.35499999999999998</v>
      </c>
      <c r="D395" s="26">
        <v>72.424000000000007</v>
      </c>
      <c r="E395" s="17">
        <f t="shared" si="18"/>
        <v>-0.55863332538870003</v>
      </c>
      <c r="F395" s="17">
        <f t="shared" si="19"/>
        <v>0.93166195354733616</v>
      </c>
      <c r="G395" s="17">
        <f t="shared" si="20"/>
        <v>0.83349740806090289</v>
      </c>
    </row>
    <row r="396" spans="1:7" x14ac:dyDescent="0.2">
      <c r="A396" s="6">
        <v>45387</v>
      </c>
      <c r="B396" s="16">
        <v>13.7842</v>
      </c>
      <c r="C396" s="30">
        <v>0.31</v>
      </c>
      <c r="D396" s="26">
        <v>75.814999999999998</v>
      </c>
      <c r="E396" s="17">
        <f t="shared" si="18"/>
        <v>-0.64960181669659078</v>
      </c>
      <c r="F396" s="17">
        <f t="shared" si="19"/>
        <v>0.98279452197917472</v>
      </c>
      <c r="G396" s="17">
        <f t="shared" si="20"/>
        <v>0.64155800110862393</v>
      </c>
    </row>
    <row r="397" spans="1:7" x14ac:dyDescent="0.2">
      <c r="A397" s="6">
        <v>45394</v>
      </c>
      <c r="B397" s="16">
        <v>13.7883</v>
      </c>
      <c r="C397" s="30">
        <v>0.36499999999999999</v>
      </c>
      <c r="D397" s="26">
        <v>76.917000000000002</v>
      </c>
      <c r="E397" s="17">
        <f t="shared" si="18"/>
        <v>-0.64806632548884158</v>
      </c>
      <c r="F397" s="17">
        <f t="shared" si="19"/>
        <v>0.92029916056248318</v>
      </c>
      <c r="G397" s="17">
        <f t="shared" si="20"/>
        <v>0.57918193904391957</v>
      </c>
    </row>
    <row r="398" spans="1:7" x14ac:dyDescent="0.2">
      <c r="A398" s="6">
        <v>45401</v>
      </c>
      <c r="B398" s="16">
        <v>13.1631</v>
      </c>
      <c r="C398" s="30">
        <v>0.59</v>
      </c>
      <c r="D398" s="26">
        <v>80.228999999999999</v>
      </c>
      <c r="E398" s="17">
        <f t="shared" si="18"/>
        <v>-0.8822100091681051</v>
      </c>
      <c r="F398" s="17">
        <f t="shared" si="19"/>
        <v>0.66463631840328985</v>
      </c>
      <c r="G398" s="17">
        <f t="shared" si="20"/>
        <v>0.39171413726687765</v>
      </c>
    </row>
    <row r="399" spans="1:7" x14ac:dyDescent="0.2">
      <c r="A399" s="6">
        <v>45408</v>
      </c>
      <c r="B399" s="16">
        <v>12.936500000000001</v>
      </c>
      <c r="C399" s="30">
        <v>0.52500000000000002</v>
      </c>
      <c r="D399" s="26">
        <v>78.450999999999993</v>
      </c>
      <c r="E399" s="17">
        <f t="shared" si="18"/>
        <v>-0.96707398665006461</v>
      </c>
      <c r="F399" s="17">
        <f t="shared" si="19"/>
        <v>0.7384944728048346</v>
      </c>
      <c r="G399" s="17">
        <f t="shared" si="20"/>
        <v>0.49235355500829731</v>
      </c>
    </row>
    <row r="400" spans="1:7" x14ac:dyDescent="0.2">
      <c r="A400" s="6">
        <v>45415</v>
      </c>
      <c r="B400" s="16">
        <v>13.167999999999999</v>
      </c>
      <c r="C400" s="30">
        <v>0.47</v>
      </c>
      <c r="D400" s="26">
        <v>72.138000000000005</v>
      </c>
      <c r="E400" s="17">
        <f t="shared" si="18"/>
        <v>-0.88037490991981948</v>
      </c>
      <c r="F400" s="17">
        <f t="shared" si="19"/>
        <v>0.80098983422152625</v>
      </c>
      <c r="G400" s="17">
        <f t="shared" si="20"/>
        <v>0.84968575084720543</v>
      </c>
    </row>
    <row r="401" spans="1:7" x14ac:dyDescent="0.2">
      <c r="A401" s="6">
        <v>45422</v>
      </c>
      <c r="B401" s="16">
        <v>12.941700000000001</v>
      </c>
      <c r="C401" s="30">
        <v>0.4325</v>
      </c>
      <c r="D401" s="26">
        <v>71.977000000000004</v>
      </c>
      <c r="E401" s="17">
        <f t="shared" si="18"/>
        <v>-0.96512653438657736</v>
      </c>
      <c r="F401" s="17">
        <f t="shared" si="19"/>
        <v>0.84360030791472518</v>
      </c>
      <c r="G401" s="17">
        <f t="shared" si="20"/>
        <v>0.85879876898914509</v>
      </c>
    </row>
    <row r="402" spans="1:7" x14ac:dyDescent="0.2">
      <c r="A402" s="6">
        <v>45429</v>
      </c>
      <c r="B402" s="16">
        <v>13.3949</v>
      </c>
      <c r="C402" s="30">
        <v>0.42</v>
      </c>
      <c r="D402" s="26">
        <v>70.447000000000003</v>
      </c>
      <c r="E402" s="17">
        <f t="shared" si="18"/>
        <v>-0.79539857942265846</v>
      </c>
      <c r="F402" s="17">
        <f t="shared" si="19"/>
        <v>0.85780379914579152</v>
      </c>
      <c r="G402" s="17">
        <f t="shared" si="20"/>
        <v>0.94540074263614826</v>
      </c>
    </row>
    <row r="403" spans="1:7" x14ac:dyDescent="0.2">
      <c r="A403" s="6">
        <v>45436</v>
      </c>
      <c r="B403" s="16">
        <v>13.0039</v>
      </c>
      <c r="C403" s="30">
        <v>0.40500000000000003</v>
      </c>
      <c r="D403" s="26">
        <v>72.433999999999997</v>
      </c>
      <c r="E403" s="17">
        <f t="shared" si="18"/>
        <v>-0.94183200923486599</v>
      </c>
      <c r="F403" s="17">
        <f t="shared" si="19"/>
        <v>0.874847988623071</v>
      </c>
      <c r="G403" s="17">
        <f t="shared" si="20"/>
        <v>0.83293138208935436</v>
      </c>
    </row>
    <row r="404" spans="1:7" x14ac:dyDescent="0.2">
      <c r="A404" s="6">
        <v>45443</v>
      </c>
      <c r="B404" s="16">
        <v>12.6427</v>
      </c>
      <c r="C404" s="30">
        <v>0.44750000000000001</v>
      </c>
      <c r="D404" s="26">
        <v>72.302999999999997</v>
      </c>
      <c r="E404" s="17">
        <f t="shared" si="18"/>
        <v>-1.0771050395370894</v>
      </c>
      <c r="F404" s="17">
        <f t="shared" si="19"/>
        <v>0.82655611843744559</v>
      </c>
      <c r="G404" s="17">
        <f t="shared" si="20"/>
        <v>0.84034632231664674</v>
      </c>
    </row>
    <row r="405" spans="1:7" x14ac:dyDescent="0.2">
      <c r="A405" s="6">
        <v>45450</v>
      </c>
      <c r="B405" s="16">
        <v>13.4237</v>
      </c>
      <c r="C405" s="30">
        <v>0.41</v>
      </c>
      <c r="D405" s="26">
        <v>71.611999999999995</v>
      </c>
      <c r="E405" s="17">
        <f t="shared" si="18"/>
        <v>-0.78461268996334477</v>
      </c>
      <c r="F405" s="17">
        <f t="shared" si="19"/>
        <v>0.86916659213064451</v>
      </c>
      <c r="G405" s="17">
        <f t="shared" si="20"/>
        <v>0.87945871695068556</v>
      </c>
    </row>
    <row r="406" spans="1:7" x14ac:dyDescent="0.2">
      <c r="A406" s="6">
        <v>45457</v>
      </c>
      <c r="B406" s="16">
        <v>12.8614</v>
      </c>
      <c r="C406" s="30">
        <v>0.61</v>
      </c>
      <c r="D406" s="26">
        <v>75.358999999999995</v>
      </c>
      <c r="E406" s="17">
        <f t="shared" si="18"/>
        <v>-0.99519969145542753</v>
      </c>
      <c r="F406" s="17">
        <f t="shared" si="19"/>
        <v>0.64191073243358376</v>
      </c>
      <c r="G406" s="17">
        <f t="shared" si="20"/>
        <v>0.66736878541126032</v>
      </c>
    </row>
    <row r="407" spans="1:7" x14ac:dyDescent="0.2">
      <c r="A407" s="6">
        <v>45464</v>
      </c>
      <c r="B407" s="16">
        <v>13.314299999999999</v>
      </c>
      <c r="C407" s="30">
        <v>0.56000000000000005</v>
      </c>
      <c r="D407" s="26">
        <v>77.55</v>
      </c>
      <c r="E407" s="17">
        <f t="shared" si="18"/>
        <v>-0.82558408950670958</v>
      </c>
      <c r="F407" s="17">
        <f t="shared" si="19"/>
        <v>0.69872469735784892</v>
      </c>
      <c r="G407" s="17">
        <f t="shared" si="20"/>
        <v>0.5433524950448656</v>
      </c>
    </row>
    <row r="408" spans="1:7" x14ac:dyDescent="0.2">
      <c r="A408" s="6">
        <v>45471</v>
      </c>
      <c r="B408" s="16">
        <v>13.6815</v>
      </c>
      <c r="C408" s="30">
        <v>0.42</v>
      </c>
      <c r="D408" s="26">
        <v>78.366</v>
      </c>
      <c r="E408" s="17">
        <f t="shared" si="18"/>
        <v>-0.68806399890046233</v>
      </c>
      <c r="F408" s="17">
        <f t="shared" si="19"/>
        <v>0.85780379914579152</v>
      </c>
      <c r="G408" s="17">
        <f t="shared" si="20"/>
        <v>0.49716477576646378</v>
      </c>
    </row>
    <row r="409" spans="1:7" x14ac:dyDescent="0.2">
      <c r="A409" s="6">
        <v>45478</v>
      </c>
      <c r="B409" s="16">
        <v>13.9429</v>
      </c>
      <c r="C409" s="30">
        <v>0.38250000000000001</v>
      </c>
      <c r="D409" s="26">
        <v>73.864000000000004</v>
      </c>
      <c r="E409" s="17">
        <f t="shared" si="18"/>
        <v>-0.59016707165516558</v>
      </c>
      <c r="F409" s="17">
        <f t="shared" si="19"/>
        <v>0.90041427283899023</v>
      </c>
      <c r="G409" s="17">
        <f t="shared" si="20"/>
        <v>0.7519896681578413</v>
      </c>
    </row>
    <row r="410" spans="1:7" x14ac:dyDescent="0.2">
      <c r="A410" s="6">
        <v>45485</v>
      </c>
      <c r="B410" s="16">
        <v>14.1686</v>
      </c>
      <c r="C410" s="30">
        <v>0.32500000000000001</v>
      </c>
      <c r="D410" s="26">
        <v>70.822999999999993</v>
      </c>
      <c r="E410" s="17">
        <f t="shared" si="18"/>
        <v>-0.50564015321880951</v>
      </c>
      <c r="F410" s="17">
        <f t="shared" si="19"/>
        <v>0.96575033250189535</v>
      </c>
      <c r="G410" s="17">
        <f t="shared" si="20"/>
        <v>0.92411816610590491</v>
      </c>
    </row>
    <row r="411" spans="1:7" x14ac:dyDescent="0.2">
      <c r="A411" s="6">
        <v>45492</v>
      </c>
      <c r="B411" s="16">
        <v>14.1858</v>
      </c>
      <c r="C411" s="30">
        <v>0.33</v>
      </c>
      <c r="D411" s="26">
        <v>76.903000000000006</v>
      </c>
      <c r="E411" s="17">
        <f t="shared" si="18"/>
        <v>-0.49919858034727477</v>
      </c>
      <c r="F411" s="17">
        <f t="shared" si="19"/>
        <v>0.96006893600946863</v>
      </c>
      <c r="G411" s="17">
        <f t="shared" si="20"/>
        <v>0.57997437540408792</v>
      </c>
    </row>
    <row r="412" spans="1:7" x14ac:dyDescent="0.2">
      <c r="A412" s="6">
        <v>45499</v>
      </c>
      <c r="B412" s="16">
        <v>14.174300000000001</v>
      </c>
      <c r="C412" s="30">
        <v>0.3</v>
      </c>
      <c r="D412" s="26">
        <v>74.909000000000006</v>
      </c>
      <c r="E412" s="17">
        <f t="shared" si="18"/>
        <v>-0.50350544592998669</v>
      </c>
      <c r="F412" s="17">
        <f t="shared" si="19"/>
        <v>0.99415731496402782</v>
      </c>
      <c r="G412" s="17">
        <f t="shared" si="20"/>
        <v>0.69283995413096644</v>
      </c>
    </row>
    <row r="413" spans="1:7" x14ac:dyDescent="0.2">
      <c r="A413" s="6">
        <v>45506</v>
      </c>
      <c r="B413" s="16">
        <v>14.1737</v>
      </c>
      <c r="C413" s="30">
        <v>0.22750000000000001</v>
      </c>
      <c r="D413" s="26">
        <v>78.593999999999994</v>
      </c>
      <c r="E413" s="17">
        <f t="shared" si="18"/>
        <v>-0.50373015196038917</v>
      </c>
      <c r="F413" s="17">
        <f t="shared" si="19"/>
        <v>1.0765375641042123</v>
      </c>
      <c r="G413" s="17">
        <f t="shared" si="20"/>
        <v>0.48425938361514598</v>
      </c>
    </row>
    <row r="414" spans="1:7" x14ac:dyDescent="0.2">
      <c r="A414" s="6">
        <v>45513</v>
      </c>
      <c r="B414" s="16">
        <v>14.1264</v>
      </c>
      <c r="C414" s="30">
        <v>0.255</v>
      </c>
      <c r="D414" s="26">
        <v>77.984999999999999</v>
      </c>
      <c r="E414" s="17">
        <f t="shared" si="18"/>
        <v>-0.52144447735710886</v>
      </c>
      <c r="F414" s="17">
        <f t="shared" si="19"/>
        <v>1.0452898833958666</v>
      </c>
      <c r="G414" s="17">
        <f t="shared" si="20"/>
        <v>0.51873036528248218</v>
      </c>
    </row>
    <row r="415" spans="1:7" x14ac:dyDescent="0.2">
      <c r="A415" s="6">
        <v>45520</v>
      </c>
      <c r="B415" s="16">
        <v>14.4855</v>
      </c>
      <c r="C415" s="30">
        <v>0.22</v>
      </c>
      <c r="D415" s="26">
        <v>73.064999999999998</v>
      </c>
      <c r="E415" s="17">
        <f t="shared" si="18"/>
        <v>-0.38695791816129388</v>
      </c>
      <c r="F415" s="17">
        <f t="shared" si="19"/>
        <v>1.085059658842852</v>
      </c>
      <c r="G415" s="17">
        <f t="shared" si="20"/>
        <v>0.79721514328460996</v>
      </c>
    </row>
    <row r="416" spans="1:7" x14ac:dyDescent="0.2">
      <c r="A416" s="6">
        <v>45527</v>
      </c>
      <c r="B416" s="16">
        <v>14.6805</v>
      </c>
      <c r="C416" s="30">
        <v>0.1925</v>
      </c>
      <c r="D416" s="26">
        <v>68.456000000000003</v>
      </c>
      <c r="E416" s="17">
        <f t="shared" si="18"/>
        <v>-0.31392845828052529</v>
      </c>
      <c r="F416" s="17">
        <f t="shared" si="19"/>
        <v>1.116307339551198</v>
      </c>
      <c r="G416" s="17">
        <f t="shared" si="20"/>
        <v>1.0580965135715621</v>
      </c>
    </row>
    <row r="417" spans="1:7" x14ac:dyDescent="0.2">
      <c r="A417" s="6">
        <v>45534</v>
      </c>
      <c r="B417" s="16">
        <v>14.743399999999999</v>
      </c>
      <c r="C417" s="30">
        <v>0.1875</v>
      </c>
      <c r="D417" s="26">
        <v>67.394999999999996</v>
      </c>
      <c r="E417" s="17">
        <f t="shared" si="18"/>
        <v>-0.29037177609334441</v>
      </c>
      <c r="F417" s="17">
        <f t="shared" si="19"/>
        <v>1.1219887360436245</v>
      </c>
      <c r="G417" s="17">
        <f t="shared" si="20"/>
        <v>1.1181518691529155</v>
      </c>
    </row>
    <row r="418" spans="1:7" x14ac:dyDescent="0.2">
      <c r="A418" s="6">
        <v>45541</v>
      </c>
      <c r="B418" s="16">
        <v>14.7438</v>
      </c>
      <c r="C418" s="30">
        <v>0.1875</v>
      </c>
      <c r="D418" s="26">
        <v>71.430000000000007</v>
      </c>
      <c r="E418" s="17">
        <f t="shared" si="18"/>
        <v>-0.29022197207307587</v>
      </c>
      <c r="F418" s="17">
        <f t="shared" si="19"/>
        <v>1.1219887360436245</v>
      </c>
      <c r="G418" s="17">
        <f t="shared" si="20"/>
        <v>0.8897603896328774</v>
      </c>
    </row>
    <row r="419" spans="1:7" x14ac:dyDescent="0.2">
      <c r="A419" s="6">
        <v>45548</v>
      </c>
      <c r="B419" s="16">
        <v>14.917199999999999</v>
      </c>
      <c r="C419" s="30">
        <v>0.16</v>
      </c>
      <c r="D419" s="26">
        <v>69.078999999999994</v>
      </c>
      <c r="E419" s="17">
        <f t="shared" si="18"/>
        <v>-0.22528192928679289</v>
      </c>
      <c r="F419" s="17">
        <f t="shared" si="19"/>
        <v>1.1532364167519704</v>
      </c>
      <c r="G419" s="17">
        <f t="shared" si="20"/>
        <v>1.0228330955440574</v>
      </c>
    </row>
    <row r="420" spans="1:7" x14ac:dyDescent="0.2">
      <c r="A420" s="6">
        <v>45555</v>
      </c>
      <c r="B420" s="16">
        <v>15.1454</v>
      </c>
      <c r="C420" s="30">
        <v>0.05</v>
      </c>
      <c r="D420" s="26">
        <v>69.149000000000001</v>
      </c>
      <c r="E420" s="17">
        <f t="shared" si="18"/>
        <v>-0.13981873572375986</v>
      </c>
      <c r="F420" s="17">
        <f t="shared" si="19"/>
        <v>1.2782271395853537</v>
      </c>
      <c r="G420" s="17">
        <f t="shared" si="20"/>
        <v>1.0188709137432137</v>
      </c>
    </row>
    <row r="421" spans="1:7" x14ac:dyDescent="0.2">
      <c r="A421" s="6">
        <v>45562</v>
      </c>
      <c r="B421" s="16">
        <v>14.9612</v>
      </c>
      <c r="C421" s="30">
        <v>6.5000000000000002E-2</v>
      </c>
      <c r="D421" s="26">
        <v>68.534999999999997</v>
      </c>
      <c r="E421" s="17">
        <f t="shared" si="18"/>
        <v>-0.20880348705728596</v>
      </c>
      <c r="F421" s="17">
        <f t="shared" si="19"/>
        <v>1.2611829501080742</v>
      </c>
      <c r="G421" s="17">
        <f t="shared" si="20"/>
        <v>1.0536249083963249</v>
      </c>
    </row>
    <row r="422" spans="1:7" x14ac:dyDescent="0.2">
      <c r="A422" s="6">
        <v>45569</v>
      </c>
      <c r="B422" s="16">
        <v>14.516</v>
      </c>
      <c r="C422" s="30">
        <v>0.23</v>
      </c>
      <c r="D422" s="26">
        <v>68.415999999999997</v>
      </c>
      <c r="E422" s="17">
        <f t="shared" si="18"/>
        <v>-0.37553536161584034</v>
      </c>
      <c r="F422" s="17">
        <f t="shared" si="19"/>
        <v>1.0736968658579991</v>
      </c>
      <c r="G422" s="17">
        <f t="shared" si="20"/>
        <v>1.0603606174577587</v>
      </c>
    </row>
    <row r="423" spans="1:7" x14ac:dyDescent="0.2">
      <c r="A423" s="6">
        <v>45576</v>
      </c>
      <c r="B423" s="16">
        <v>14.481199999999999</v>
      </c>
      <c r="C423" s="30">
        <v>0.28749999999999998</v>
      </c>
      <c r="D423" s="26">
        <v>68.957999999999998</v>
      </c>
      <c r="E423" s="17">
        <f t="shared" si="18"/>
        <v>-0.38856831137917769</v>
      </c>
      <c r="F423" s="17">
        <f t="shared" si="19"/>
        <v>1.0083608061950942</v>
      </c>
      <c r="G423" s="17">
        <f t="shared" si="20"/>
        <v>1.0296820097998005</v>
      </c>
    </row>
    <row r="424" spans="1:7" x14ac:dyDescent="0.2">
      <c r="A424" s="6">
        <v>45583</v>
      </c>
      <c r="B424" s="16">
        <v>14.9618</v>
      </c>
      <c r="C424" s="30">
        <v>0.28499999999999998</v>
      </c>
      <c r="D424" s="26">
        <v>68.676000000000002</v>
      </c>
      <c r="E424" s="17">
        <f t="shared" si="18"/>
        <v>-0.20857878102688346</v>
      </c>
      <c r="F424" s="17">
        <f t="shared" si="19"/>
        <v>1.0112015044413074</v>
      </c>
      <c r="G424" s="17">
        <f t="shared" si="20"/>
        <v>1.0456439421974832</v>
      </c>
    </row>
    <row r="425" spans="1:7" x14ac:dyDescent="0.2">
      <c r="A425" s="6">
        <v>45590</v>
      </c>
      <c r="B425" s="16">
        <v>14.7646</v>
      </c>
      <c r="C425" s="30">
        <v>0.29749999999999999</v>
      </c>
      <c r="D425" s="26">
        <v>68.831999999999994</v>
      </c>
      <c r="E425" s="17">
        <f t="shared" si="18"/>
        <v>-0.28243216301912744</v>
      </c>
      <c r="F425" s="17">
        <f t="shared" si="19"/>
        <v>0.99699801321024117</v>
      </c>
      <c r="G425" s="17">
        <f t="shared" si="20"/>
        <v>1.0368139370413187</v>
      </c>
    </row>
    <row r="426" spans="1:7" x14ac:dyDescent="0.2">
      <c r="A426" s="6">
        <v>45597</v>
      </c>
      <c r="B426" s="16">
        <v>14.2669</v>
      </c>
      <c r="C426" s="30">
        <v>0.32250000000000001</v>
      </c>
      <c r="D426" s="26">
        <v>71.945999999999998</v>
      </c>
      <c r="E426" s="17">
        <f t="shared" si="18"/>
        <v>-0.46882581523788874</v>
      </c>
      <c r="F426" s="17">
        <f t="shared" si="19"/>
        <v>0.96859103074810848</v>
      </c>
      <c r="G426" s="17">
        <f t="shared" si="20"/>
        <v>0.86055344950094748</v>
      </c>
    </row>
    <row r="427" spans="1:7" x14ac:dyDescent="0.2">
      <c r="A427" s="6">
        <v>45604</v>
      </c>
      <c r="B427" s="16">
        <v>13.7204</v>
      </c>
      <c r="C427" s="30">
        <v>0.17499999999999999</v>
      </c>
      <c r="D427" s="26">
        <v>69.097999999999999</v>
      </c>
      <c r="E427" s="17">
        <f t="shared" si="18"/>
        <v>-0.67349555792937577</v>
      </c>
      <c r="F427" s="17">
        <f t="shared" si="19"/>
        <v>1.1361922272746907</v>
      </c>
      <c r="G427" s="17">
        <f t="shared" si="20"/>
        <v>1.0217576461981139</v>
      </c>
    </row>
    <row r="428" spans="1:7" x14ac:dyDescent="0.2">
      <c r="A428" s="6">
        <v>45611</v>
      </c>
      <c r="B428" s="16">
        <v>13.526300000000001</v>
      </c>
      <c r="C428" s="30">
        <v>0.245</v>
      </c>
      <c r="D428" s="26">
        <v>73.122</v>
      </c>
      <c r="E428" s="17">
        <f t="shared" si="18"/>
        <v>-0.74618795876454025</v>
      </c>
      <c r="F428" s="17">
        <f t="shared" si="19"/>
        <v>1.0566526763807196</v>
      </c>
      <c r="G428" s="17">
        <f t="shared" si="20"/>
        <v>0.79398879524678023</v>
      </c>
    </row>
    <row r="429" spans="1:7" x14ac:dyDescent="0.2">
      <c r="A429" s="6">
        <v>45618</v>
      </c>
      <c r="B429" s="16">
        <v>13.4671</v>
      </c>
      <c r="C429" s="30">
        <v>0.22750000000000001</v>
      </c>
      <c r="D429" s="26">
        <v>74.052999999999997</v>
      </c>
      <c r="E429" s="17">
        <f t="shared" si="18"/>
        <v>-0.76835895376424035</v>
      </c>
      <c r="F429" s="17">
        <f t="shared" si="19"/>
        <v>1.0765375641042123</v>
      </c>
      <c r="G429" s="17">
        <f t="shared" si="20"/>
        <v>0.74129177729556484</v>
      </c>
    </row>
    <row r="430" spans="1:7" x14ac:dyDescent="0.2">
      <c r="A430" s="6">
        <v>45625</v>
      </c>
      <c r="B430" s="16">
        <v>13.206099999999999</v>
      </c>
      <c r="C430" s="30">
        <v>0.23499999999999999</v>
      </c>
      <c r="D430" s="26">
        <v>74.484999999999999</v>
      </c>
      <c r="E430" s="17">
        <f t="shared" si="18"/>
        <v>-0.86610607698926934</v>
      </c>
      <c r="F430" s="17">
        <f t="shared" si="19"/>
        <v>1.0680154693655726</v>
      </c>
      <c r="G430" s="17">
        <f t="shared" si="20"/>
        <v>0.7168394553246461</v>
      </c>
    </row>
    <row r="431" spans="1:7" x14ac:dyDescent="0.2">
      <c r="A431" s="6">
        <v>45632</v>
      </c>
      <c r="B431" s="16">
        <v>13.577500000000001</v>
      </c>
      <c r="C431" s="30">
        <v>0.2225</v>
      </c>
      <c r="D431" s="26">
        <v>72.106999999999999</v>
      </c>
      <c r="E431" s="17">
        <f t="shared" si="18"/>
        <v>-0.72701304417020518</v>
      </c>
      <c r="F431" s="17">
        <f t="shared" si="19"/>
        <v>1.0822189605966388</v>
      </c>
      <c r="G431" s="17">
        <f t="shared" si="20"/>
        <v>0.85144043135900782</v>
      </c>
    </row>
    <row r="432" spans="1:7" x14ac:dyDescent="0.2">
      <c r="A432" s="6">
        <v>45639</v>
      </c>
      <c r="B432" s="16">
        <v>13.363200000000001</v>
      </c>
      <c r="C432" s="30">
        <v>0.25</v>
      </c>
      <c r="D432" s="26">
        <v>73.031999999999996</v>
      </c>
      <c r="E432" s="17">
        <f t="shared" si="18"/>
        <v>-0.80727054802891629</v>
      </c>
      <c r="F432" s="17">
        <f t="shared" si="19"/>
        <v>1.0509712798882931</v>
      </c>
      <c r="G432" s="17">
        <f t="shared" si="20"/>
        <v>0.79908302899072181</v>
      </c>
    </row>
    <row r="433" spans="1:7" x14ac:dyDescent="0.2">
      <c r="A433" s="6">
        <v>45646</v>
      </c>
      <c r="B433" s="16">
        <v>12.6265</v>
      </c>
      <c r="C433" s="30">
        <v>0.36499999999999999</v>
      </c>
      <c r="D433" s="26">
        <v>75.766999999999996</v>
      </c>
      <c r="E433" s="17">
        <f t="shared" si="18"/>
        <v>-1.083172102357953</v>
      </c>
      <c r="F433" s="17">
        <f t="shared" si="19"/>
        <v>0.92029916056248318</v>
      </c>
      <c r="G433" s="17">
        <f t="shared" si="20"/>
        <v>0.64427492577205947</v>
      </c>
    </row>
    <row r="434" spans="1:7" x14ac:dyDescent="0.2">
      <c r="A434" s="6">
        <v>45653</v>
      </c>
      <c r="B434" s="16">
        <v>12.811199999999999</v>
      </c>
      <c r="C434" s="30">
        <v>0.39250000000000002</v>
      </c>
      <c r="D434" s="26">
        <v>76.569999999999993</v>
      </c>
      <c r="E434" s="17">
        <f t="shared" si="18"/>
        <v>-1.014000095999092</v>
      </c>
      <c r="F434" s="17">
        <f t="shared" si="19"/>
        <v>0.88905147985413724</v>
      </c>
      <c r="G434" s="17">
        <f t="shared" si="20"/>
        <v>0.59882304025667166</v>
      </c>
    </row>
    <row r="435" spans="1:7" x14ac:dyDescent="0.2">
      <c r="A435" s="6">
        <v>45660</v>
      </c>
      <c r="B435" s="16">
        <v>12.9611</v>
      </c>
      <c r="C435" s="30">
        <v>0.33500000000000002</v>
      </c>
      <c r="D435" s="26">
        <v>78.117999999999995</v>
      </c>
      <c r="E435" s="17">
        <f t="shared" si="18"/>
        <v>-0.95786103940356782</v>
      </c>
      <c r="F435" s="17">
        <f t="shared" si="19"/>
        <v>0.95438753951704225</v>
      </c>
      <c r="G435" s="17">
        <f t="shared" si="20"/>
        <v>0.51120221986088021</v>
      </c>
    </row>
    <row r="436" spans="1:7" x14ac:dyDescent="0.2">
      <c r="A436" s="6">
        <v>45667</v>
      </c>
      <c r="B436" s="16">
        <v>12.661899999999999</v>
      </c>
      <c r="C436" s="30">
        <v>0.36</v>
      </c>
      <c r="D436" s="26">
        <v>80.787000000000006</v>
      </c>
      <c r="E436" s="17">
        <f t="shared" si="18"/>
        <v>-1.0699144465642139</v>
      </c>
      <c r="F436" s="17">
        <f t="shared" si="19"/>
        <v>0.92598055705490967</v>
      </c>
      <c r="G436" s="17">
        <f t="shared" si="20"/>
        <v>0.36012988805444085</v>
      </c>
    </row>
    <row r="437" spans="1:7" x14ac:dyDescent="0.2">
      <c r="A437" s="6">
        <v>45674</v>
      </c>
      <c r="B437" s="16">
        <v>12.902200000000001</v>
      </c>
      <c r="C437" s="30">
        <v>0.48499999999999999</v>
      </c>
      <c r="D437" s="26">
        <v>77.507999999999996</v>
      </c>
      <c r="E437" s="17">
        <f t="shared" si="18"/>
        <v>-0.9799196813880664</v>
      </c>
      <c r="F437" s="17">
        <f t="shared" si="19"/>
        <v>0.78394564474424677</v>
      </c>
      <c r="G437" s="17">
        <f t="shared" si="20"/>
        <v>0.54572980412537164</v>
      </c>
    </row>
    <row r="438" spans="1:7" x14ac:dyDescent="0.2">
      <c r="A438" s="6">
        <v>45681</v>
      </c>
      <c r="B438" s="16">
        <v>12.8223</v>
      </c>
      <c r="C438" s="30">
        <v>0.31</v>
      </c>
      <c r="D438" s="26">
        <v>73.760000000000005</v>
      </c>
      <c r="E438" s="17">
        <f t="shared" si="18"/>
        <v>-1.009843034436648</v>
      </c>
      <c r="F438" s="17">
        <f t="shared" si="19"/>
        <v>0.98279452197917472</v>
      </c>
      <c r="G438" s="17">
        <f t="shared" si="20"/>
        <v>0.75787633826195122</v>
      </c>
    </row>
    <row r="439" spans="1:7" x14ac:dyDescent="0.2">
      <c r="A439" s="6">
        <v>45688</v>
      </c>
      <c r="B439" s="16">
        <v>12.8291</v>
      </c>
      <c r="C439" s="30">
        <v>0.29749999999999999</v>
      </c>
      <c r="D439" s="26">
        <v>76.558000000000007</v>
      </c>
      <c r="E439" s="17">
        <f t="shared" si="18"/>
        <v>-1.0072963660920879</v>
      </c>
      <c r="F439" s="17">
        <f t="shared" si="19"/>
        <v>0.99699801321024117</v>
      </c>
      <c r="G439" s="17">
        <f t="shared" si="20"/>
        <v>0.59950227142252976</v>
      </c>
    </row>
    <row r="440" spans="1:7" x14ac:dyDescent="0.2">
      <c r="A440" s="6">
        <v>45695</v>
      </c>
      <c r="B440" s="16">
        <v>12.2903</v>
      </c>
      <c r="C440" s="30">
        <v>0.44500000000000001</v>
      </c>
      <c r="D440" s="26">
        <v>75.73</v>
      </c>
      <c r="E440" s="17">
        <f t="shared" si="18"/>
        <v>-1.2090823813934113</v>
      </c>
      <c r="F440" s="17">
        <f t="shared" si="19"/>
        <v>0.82939681668365883</v>
      </c>
      <c r="G440" s="17">
        <f t="shared" si="20"/>
        <v>0.64636922186679047</v>
      </c>
    </row>
    <row r="441" spans="1:7" x14ac:dyDescent="0.2">
      <c r="A441" s="6">
        <v>45702</v>
      </c>
      <c r="B441" s="16">
        <v>12.1099</v>
      </c>
      <c r="C441" s="30">
        <v>0.33750000000000002</v>
      </c>
      <c r="D441" s="26">
        <v>70.876999999999995</v>
      </c>
      <c r="E441" s="17">
        <f t="shared" si="18"/>
        <v>-1.276643994534389</v>
      </c>
      <c r="F441" s="17">
        <f t="shared" si="19"/>
        <v>0.95154684127082889</v>
      </c>
      <c r="G441" s="17">
        <f t="shared" si="20"/>
        <v>0.92106162585953999</v>
      </c>
    </row>
    <row r="442" spans="1:7" x14ac:dyDescent="0.2">
      <c r="A442" s="6">
        <v>45709</v>
      </c>
      <c r="B442" s="16">
        <v>12.189399999999999</v>
      </c>
      <c r="C442" s="30">
        <v>0.315</v>
      </c>
      <c r="D442" s="26">
        <v>71.462999999999994</v>
      </c>
      <c r="E442" s="17">
        <f t="shared" si="18"/>
        <v>-1.246870445506076</v>
      </c>
      <c r="F442" s="17">
        <f t="shared" si="19"/>
        <v>0.97711312548674834</v>
      </c>
      <c r="G442" s="17">
        <f t="shared" si="20"/>
        <v>0.88789250392676633</v>
      </c>
    </row>
    <row r="443" spans="1:7" x14ac:dyDescent="0.2">
      <c r="A443" s="6">
        <v>45716</v>
      </c>
      <c r="B443" s="16">
        <v>10.9689</v>
      </c>
      <c r="C443" s="30">
        <v>0.42249999999999999</v>
      </c>
      <c r="D443" s="26">
        <v>78.832999999999998</v>
      </c>
      <c r="E443" s="17">
        <f t="shared" si="18"/>
        <v>-1.703959962349552</v>
      </c>
      <c r="F443" s="17">
        <f t="shared" si="19"/>
        <v>0.85496310089957817</v>
      </c>
      <c r="G443" s="17">
        <f t="shared" si="20"/>
        <v>0.47073136289512368</v>
      </c>
    </row>
    <row r="444" spans="1:7" x14ac:dyDescent="0.2">
      <c r="A444" s="6">
        <v>45723</v>
      </c>
      <c r="B444" s="16">
        <v>12.2629</v>
      </c>
      <c r="C444" s="30">
        <v>0.57750000000000001</v>
      </c>
      <c r="D444" s="26">
        <v>77.265000000000001</v>
      </c>
      <c r="E444" s="17">
        <f t="shared" si="18"/>
        <v>-1.2193439567817859</v>
      </c>
      <c r="F444" s="17">
        <f t="shared" si="19"/>
        <v>0.67883980963435608</v>
      </c>
      <c r="G444" s="17">
        <f t="shared" si="20"/>
        <v>0.55948423523401303</v>
      </c>
    </row>
    <row r="445" spans="1:7" x14ac:dyDescent="0.2">
      <c r="A445" s="6">
        <v>45730</v>
      </c>
      <c r="B445" s="16">
        <v>11.867699999999999</v>
      </c>
      <c r="C445" s="30">
        <v>0.63249999999999995</v>
      </c>
      <c r="D445" s="26">
        <v>82.69</v>
      </c>
      <c r="E445" s="17">
        <f t="shared" si="18"/>
        <v>-1.3673503288068103</v>
      </c>
      <c r="F445" s="17">
        <f t="shared" si="19"/>
        <v>0.61634444821766454</v>
      </c>
      <c r="G445" s="17">
        <f t="shared" si="20"/>
        <v>0.25241514566865902</v>
      </c>
    </row>
    <row r="446" spans="1:7" x14ac:dyDescent="0.2">
      <c r="A446" s="6">
        <v>45737</v>
      </c>
      <c r="B446" s="16">
        <v>10.7202</v>
      </c>
      <c r="C446" s="30">
        <v>0.63</v>
      </c>
      <c r="D446" s="26">
        <v>91.587999999999994</v>
      </c>
      <c r="E446" s="17">
        <f t="shared" si="18"/>
        <v>-1.797100611951332</v>
      </c>
      <c r="F446" s="17">
        <f t="shared" si="19"/>
        <v>0.61918514646387768</v>
      </c>
      <c r="G446" s="17">
        <f t="shared" si="20"/>
        <v>-0.25123476381567639</v>
      </c>
    </row>
    <row r="447" spans="1:7" x14ac:dyDescent="0.2">
      <c r="A447" s="6">
        <v>45744</v>
      </c>
      <c r="B447" s="16">
        <v>11.4855</v>
      </c>
      <c r="C447" s="30">
        <v>0.63249999999999995</v>
      </c>
      <c r="D447" s="26">
        <v>93.471999999999994</v>
      </c>
      <c r="E447" s="17">
        <f t="shared" si="18"/>
        <v>-1.5104880701731163</v>
      </c>
      <c r="F447" s="17">
        <f t="shared" si="19"/>
        <v>0.61634444821766454</v>
      </c>
      <c r="G447" s="17">
        <f t="shared" si="20"/>
        <v>-0.35787405685551554</v>
      </c>
    </row>
    <row r="448" spans="1:7" x14ac:dyDescent="0.2">
      <c r="A448" s="6">
        <v>45751</v>
      </c>
      <c r="B448" s="16">
        <v>11.488300000000001</v>
      </c>
      <c r="C448" s="30">
        <v>0.77</v>
      </c>
      <c r="D448" s="26">
        <v>106.167</v>
      </c>
      <c r="E448" s="17">
        <f t="shared" si="18"/>
        <v>-1.5094394420312383</v>
      </c>
      <c r="F448" s="17">
        <f t="shared" si="19"/>
        <v>0.46010604467593524</v>
      </c>
      <c r="G448" s="17">
        <f t="shared" si="20"/>
        <v>-1.076444027737022</v>
      </c>
    </row>
    <row r="449" spans="1:7" x14ac:dyDescent="0.2">
      <c r="A449" s="6">
        <v>45758</v>
      </c>
      <c r="B449" s="16">
        <v>11.0746</v>
      </c>
      <c r="C449" s="30">
        <v>1.03</v>
      </c>
      <c r="D449" s="26">
        <v>112.379</v>
      </c>
      <c r="E449" s="17">
        <f t="shared" si="18"/>
        <v>-1.6643742499936687</v>
      </c>
      <c r="F449" s="17">
        <f t="shared" si="19"/>
        <v>0.16467342706975632</v>
      </c>
      <c r="G449" s="17">
        <f t="shared" si="20"/>
        <v>-1.4280593612632857</v>
      </c>
    </row>
    <row r="450" spans="1:7" x14ac:dyDescent="0.2">
      <c r="A450" s="6">
        <v>45765</v>
      </c>
      <c r="B450" s="16">
        <v>11.3758</v>
      </c>
      <c r="C450" s="30">
        <v>0.78749999999999998</v>
      </c>
      <c r="D450" s="26">
        <v>108.235</v>
      </c>
      <c r="E450" s="17">
        <f t="shared" si="18"/>
        <v>-1.5515718227316819</v>
      </c>
      <c r="F450" s="17">
        <f t="shared" si="19"/>
        <v>0.44022115695244246</v>
      </c>
      <c r="G450" s="17">
        <f t="shared" si="20"/>
        <v>-1.1934981986533633</v>
      </c>
    </row>
    <row r="451" spans="1:7" x14ac:dyDescent="0.2">
      <c r="A451" s="6">
        <v>45772</v>
      </c>
      <c r="B451" s="16">
        <v>11.7606</v>
      </c>
      <c r="C451" s="30">
        <v>0.44</v>
      </c>
      <c r="D451" s="26">
        <v>96.340999999999994</v>
      </c>
      <c r="E451" s="17">
        <f t="shared" si="18"/>
        <v>-1.407460355233632</v>
      </c>
      <c r="F451" s="17">
        <f t="shared" si="19"/>
        <v>0.83507821317608544</v>
      </c>
      <c r="G451" s="17">
        <f t="shared" si="20"/>
        <v>-0.52026690809293508</v>
      </c>
    </row>
    <row r="452" spans="1:7" x14ac:dyDescent="0.2">
      <c r="A452" s="6">
        <v>45779</v>
      </c>
      <c r="B452" s="16">
        <v>12.096399999999999</v>
      </c>
      <c r="C452" s="30">
        <v>0.29749999999999999</v>
      </c>
      <c r="D452" s="26">
        <v>96.486999999999995</v>
      </c>
      <c r="E452" s="17">
        <f t="shared" si="18"/>
        <v>-1.2816998802184425</v>
      </c>
      <c r="F452" s="17">
        <f t="shared" si="19"/>
        <v>0.99699801321024117</v>
      </c>
      <c r="G452" s="17">
        <f t="shared" si="20"/>
        <v>-0.52853088727755104</v>
      </c>
    </row>
    <row r="453" spans="1:7" x14ac:dyDescent="0.2">
      <c r="A453" s="6">
        <v>45786</v>
      </c>
      <c r="B453" s="16">
        <v>12.117000000000001</v>
      </c>
      <c r="C453" s="30">
        <v>0.08</v>
      </c>
      <c r="D453" s="26">
        <v>90.638000000000005</v>
      </c>
      <c r="E453" s="17">
        <f t="shared" si="18"/>
        <v>-1.2739849731746273</v>
      </c>
      <c r="F453" s="17">
        <f t="shared" si="19"/>
        <v>1.2441387606307945</v>
      </c>
      <c r="G453" s="17">
        <f t="shared" si="20"/>
        <v>-0.19746229651851827</v>
      </c>
    </row>
    <row r="454" spans="1:7" x14ac:dyDescent="0.2">
      <c r="A454" s="6">
        <v>45793</v>
      </c>
      <c r="B454" s="16">
        <v>12.816800000000001</v>
      </c>
      <c r="C454" s="30">
        <v>9.2499999999999999E-2</v>
      </c>
      <c r="D454" s="26">
        <v>83.015000000000001</v>
      </c>
      <c r="E454" s="17">
        <f t="shared" ref="E454:E517" si="21">IF(ISNUMBER(B454),(B454-$J$6)/$J$7,"")</f>
        <v>-1.0119028397153362</v>
      </c>
      <c r="F454" s="17">
        <f t="shared" ref="F454:F517" si="22">IF(ISNUMBER(C454),-(C454-$J$8)/$J$9,"")</f>
        <v>1.2299352693997283</v>
      </c>
      <c r="G454" s="17">
        <f t="shared" ref="G454:G517" si="23">IF(ISNUMBER(D454),-(D454-$J$10)/$J$11,"")</f>
        <v>0.23401930159331508</v>
      </c>
    </row>
    <row r="455" spans="1:7" x14ac:dyDescent="0.2">
      <c r="A455" s="6">
        <v>45800</v>
      </c>
      <c r="B455" s="16">
        <v>13.0566</v>
      </c>
      <c r="C455" s="30">
        <v>-0.14249999999999999</v>
      </c>
      <c r="D455" s="26">
        <v>83.911000000000001</v>
      </c>
      <c r="E455" s="17">
        <f t="shared" si="21"/>
        <v>-0.922095329564525</v>
      </c>
      <c r="F455" s="17">
        <f t="shared" si="22"/>
        <v>1.4969609045437746</v>
      </c>
      <c r="G455" s="17">
        <f t="shared" si="23"/>
        <v>0.18330337454252107</v>
      </c>
    </row>
    <row r="456" spans="1:7" x14ac:dyDescent="0.2">
      <c r="A456" s="6">
        <v>45807</v>
      </c>
      <c r="B456" s="16">
        <v>12.987299999999999</v>
      </c>
      <c r="C456" s="30">
        <v>-0.18</v>
      </c>
      <c r="D456" s="26">
        <v>79.313999999999993</v>
      </c>
      <c r="E456" s="17">
        <f t="shared" si="21"/>
        <v>-0.94804887607599819</v>
      </c>
      <c r="F456" s="17">
        <f t="shared" si="22"/>
        <v>1.5395713782369733</v>
      </c>
      <c r="G456" s="17">
        <f t="shared" si="23"/>
        <v>0.44350551366361518</v>
      </c>
    </row>
    <row r="457" spans="1:7" x14ac:dyDescent="0.2">
      <c r="A457" s="6">
        <v>45814</v>
      </c>
      <c r="B457" s="16">
        <v>12.819599999999999</v>
      </c>
      <c r="C457" s="30">
        <v>-0.16500000000000001</v>
      </c>
      <c r="D457" s="26">
        <v>77.424000000000007</v>
      </c>
      <c r="E457" s="17">
        <f t="shared" si="21"/>
        <v>-1.0108542115734591</v>
      </c>
      <c r="F457" s="17">
        <f t="shared" si="22"/>
        <v>1.5225271887596941</v>
      </c>
      <c r="G457" s="17">
        <f t="shared" si="23"/>
        <v>0.55048442228638295</v>
      </c>
    </row>
    <row r="458" spans="1:7" x14ac:dyDescent="0.2">
      <c r="A458" s="6">
        <v>45821</v>
      </c>
      <c r="B458" s="16">
        <v>12.845499999999999</v>
      </c>
      <c r="C458" s="30">
        <v>-2.2499999999999999E-2</v>
      </c>
      <c r="D458" s="26">
        <v>76.876000000000005</v>
      </c>
      <c r="E458" s="17">
        <f t="shared" si="21"/>
        <v>-1.0011544012610902</v>
      </c>
      <c r="F458" s="17">
        <f t="shared" si="22"/>
        <v>1.3606073887255381</v>
      </c>
      <c r="G458" s="17">
        <f t="shared" si="23"/>
        <v>0.58150264552727038</v>
      </c>
    </row>
    <row r="459" spans="1:7" x14ac:dyDescent="0.2">
      <c r="A459" s="6">
        <v>45828</v>
      </c>
      <c r="B459" s="16">
        <v>11.6615</v>
      </c>
      <c r="C459" s="30">
        <v>0.19750000000000001</v>
      </c>
      <c r="D459" s="26">
        <v>81.957999999999998</v>
      </c>
      <c r="E459" s="17">
        <f t="shared" si="21"/>
        <v>-1.4445743012550891</v>
      </c>
      <c r="F459" s="17">
        <f t="shared" si="22"/>
        <v>1.1106259430587715</v>
      </c>
      <c r="G459" s="17">
        <f t="shared" si="23"/>
        <v>0.29384824678604871</v>
      </c>
    </row>
    <row r="460" spans="1:7" x14ac:dyDescent="0.2">
      <c r="A460" s="6">
        <v>45835</v>
      </c>
      <c r="B460" s="16">
        <v>11.7826</v>
      </c>
      <c r="C460" s="30">
        <v>0.11</v>
      </c>
      <c r="D460" s="26">
        <v>79.034999999999997</v>
      </c>
      <c r="E460" s="17">
        <f t="shared" si="21"/>
        <v>-1.3992211341188785</v>
      </c>
      <c r="F460" s="17">
        <f t="shared" si="22"/>
        <v>1.2100503816762354</v>
      </c>
      <c r="G460" s="17">
        <f t="shared" si="23"/>
        <v>0.45929763826983316</v>
      </c>
    </row>
    <row r="461" spans="1:7" x14ac:dyDescent="0.2">
      <c r="A461" s="6">
        <v>45842</v>
      </c>
      <c r="B461" s="16">
        <v>12.2363</v>
      </c>
      <c r="C461" s="30">
        <v>0.115</v>
      </c>
      <c r="D461" s="26">
        <v>75.001999999999995</v>
      </c>
      <c r="E461" s="17">
        <f t="shared" si="21"/>
        <v>-1.2293059241296243</v>
      </c>
      <c r="F461" s="17">
        <f t="shared" si="22"/>
        <v>1.2043689851838091</v>
      </c>
      <c r="G461" s="17">
        <f t="shared" si="23"/>
        <v>0.68757591259556106</v>
      </c>
    </row>
    <row r="462" spans="1:7" x14ac:dyDescent="0.2">
      <c r="A462" s="6">
        <v>45849</v>
      </c>
      <c r="B462" s="16">
        <v>12.5472</v>
      </c>
      <c r="C462" s="30">
        <v>9.7500000000000003E-2</v>
      </c>
      <c r="D462" s="26">
        <v>74.912000000000006</v>
      </c>
      <c r="E462" s="17">
        <f t="shared" si="21"/>
        <v>-1.1128707493761323</v>
      </c>
      <c r="F462" s="17">
        <f t="shared" si="22"/>
        <v>1.2242538729073018</v>
      </c>
      <c r="G462" s="17">
        <f t="shared" si="23"/>
        <v>0.69267014633950175</v>
      </c>
    </row>
    <row r="463" spans="1:7" x14ac:dyDescent="0.2">
      <c r="A463" s="6">
        <v>45856</v>
      </c>
      <c r="B463" s="16">
        <v>12.4114</v>
      </c>
      <c r="C463" s="30">
        <v>8.5000000000000006E-2</v>
      </c>
      <c r="D463" s="26">
        <v>72.887</v>
      </c>
      <c r="E463" s="17">
        <f t="shared" si="21"/>
        <v>-1.1637292142572007</v>
      </c>
      <c r="F463" s="17">
        <f t="shared" si="22"/>
        <v>1.238457364138368</v>
      </c>
      <c r="G463" s="17">
        <f t="shared" si="23"/>
        <v>0.80729040557818266</v>
      </c>
    </row>
    <row r="464" spans="1:7" x14ac:dyDescent="0.2">
      <c r="A464" s="6">
        <v>45863</v>
      </c>
      <c r="B464" s="16">
        <v>12.5768</v>
      </c>
      <c r="C464" s="30">
        <v>7.0000000000000007E-2</v>
      </c>
      <c r="D464" s="26">
        <v>71.966999999999999</v>
      </c>
      <c r="E464" s="17">
        <f t="shared" si="21"/>
        <v>-1.1017852518762821</v>
      </c>
      <c r="F464" s="17">
        <f t="shared" si="22"/>
        <v>1.2555015536156475</v>
      </c>
      <c r="G464" s="17">
        <f t="shared" si="23"/>
        <v>0.8593647949606944</v>
      </c>
    </row>
    <row r="465" spans="1:7" x14ac:dyDescent="0.2">
      <c r="A465" s="6">
        <v>45870</v>
      </c>
      <c r="B465" s="16">
        <v>12.6356</v>
      </c>
      <c r="C465" s="30">
        <v>0.1075</v>
      </c>
      <c r="D465" s="26">
        <v>74.622</v>
      </c>
      <c r="E465" s="17">
        <f t="shared" si="21"/>
        <v>-1.0797640608968506</v>
      </c>
      <c r="F465" s="17">
        <f t="shared" si="22"/>
        <v>1.2128910799224488</v>
      </c>
      <c r="G465" s="17">
        <f t="shared" si="23"/>
        <v>0.70908489951442433</v>
      </c>
    </row>
    <row r="466" spans="1:7" x14ac:dyDescent="0.2">
      <c r="A466" s="6">
        <v>45877</v>
      </c>
      <c r="B466" s="16">
        <v>12.559699999999999</v>
      </c>
      <c r="C466" s="30">
        <v>6.5000000000000002E-2</v>
      </c>
      <c r="D466" s="26">
        <v>74.536000000000001</v>
      </c>
      <c r="E466" s="17">
        <f t="shared" si="21"/>
        <v>-1.10818937374275</v>
      </c>
      <c r="F466" s="17">
        <f t="shared" si="22"/>
        <v>1.2611829501080742</v>
      </c>
      <c r="G466" s="17">
        <f t="shared" si="23"/>
        <v>0.71395272286974598</v>
      </c>
    </row>
    <row r="467" spans="1:7" x14ac:dyDescent="0.2">
      <c r="A467" s="6">
        <v>45884</v>
      </c>
      <c r="B467" s="16">
        <v>13.1708</v>
      </c>
      <c r="C467" s="30">
        <v>1.7500000000000002E-2</v>
      </c>
      <c r="D467" s="26">
        <v>68.388000000000005</v>
      </c>
      <c r="E467" s="17">
        <f t="shared" si="21"/>
        <v>-0.87932628177794159</v>
      </c>
      <c r="F467" s="17">
        <f t="shared" si="22"/>
        <v>1.3151562167861259</v>
      </c>
      <c r="G467" s="17">
        <f t="shared" si="23"/>
        <v>1.0619454901780954</v>
      </c>
    </row>
    <row r="468" spans="1:7" x14ac:dyDescent="0.2">
      <c r="A468" s="6">
        <v>45891</v>
      </c>
      <c r="B468" s="16">
        <v>13.148300000000001</v>
      </c>
      <c r="C468" s="30">
        <v>3.7499999999999999E-2</v>
      </c>
      <c r="D468" s="26">
        <v>66.912000000000006</v>
      </c>
      <c r="E468" s="17">
        <f t="shared" si="21"/>
        <v>-0.88775275791802988</v>
      </c>
      <c r="F468" s="17">
        <f t="shared" si="22"/>
        <v>1.29243063081642</v>
      </c>
      <c r="G468" s="17">
        <f t="shared" si="23"/>
        <v>1.1454909235787336</v>
      </c>
    </row>
    <row r="469" spans="1:7" x14ac:dyDescent="0.2">
      <c r="A469" s="6">
        <v>45898</v>
      </c>
      <c r="B469" s="16">
        <v>13.449400000000001</v>
      </c>
      <c r="C469" s="30">
        <v>0.48</v>
      </c>
      <c r="D469" s="26">
        <v>70.272999999999996</v>
      </c>
      <c r="E469" s="17">
        <f t="shared" si="21"/>
        <v>-0.77498778166110993</v>
      </c>
      <c r="F469" s="17">
        <f t="shared" si="22"/>
        <v>0.78962704123667327</v>
      </c>
      <c r="G469" s="17">
        <f t="shared" si="23"/>
        <v>0.95524959454110192</v>
      </c>
    </row>
    <row r="470" spans="1:7" x14ac:dyDescent="0.2">
      <c r="A470" s="6">
        <v>45905</v>
      </c>
      <c r="B470" s="16">
        <v>13.4168</v>
      </c>
      <c r="C470" s="30">
        <v>0.49</v>
      </c>
      <c r="D470" s="26">
        <v>69.352999999999994</v>
      </c>
      <c r="E470" s="17">
        <f t="shared" si="21"/>
        <v>-0.78719680931297198</v>
      </c>
      <c r="F470" s="17">
        <f t="shared" si="22"/>
        <v>0.77826424825182017</v>
      </c>
      <c r="G470" s="17">
        <f t="shared" si="23"/>
        <v>1.0073239839236137</v>
      </c>
    </row>
    <row r="471" spans="1:7" x14ac:dyDescent="0.2">
      <c r="A471" s="6">
        <v>45912</v>
      </c>
      <c r="B471" s="16">
        <v>13.424099999999999</v>
      </c>
      <c r="C471" s="30">
        <v>0.47499999999999998</v>
      </c>
      <c r="D471" s="26">
        <v>68.131</v>
      </c>
      <c r="E471" s="17">
        <f t="shared" si="21"/>
        <v>-0.78446288594307689</v>
      </c>
      <c r="F471" s="17">
        <f t="shared" si="22"/>
        <v>0.79530843772909976</v>
      </c>
      <c r="G471" s="17">
        <f t="shared" si="23"/>
        <v>1.0764923576469061</v>
      </c>
    </row>
    <row r="472" spans="1:7" x14ac:dyDescent="0.2">
      <c r="A472" s="6">
        <v>45919</v>
      </c>
      <c r="B472" s="16">
        <v>14.3329</v>
      </c>
      <c r="C472" s="30">
        <v>0.50249999999999995</v>
      </c>
      <c r="D472" s="26">
        <v>69.864000000000004</v>
      </c>
      <c r="E472" s="17">
        <f t="shared" si="21"/>
        <v>-0.4441081518936284</v>
      </c>
      <c r="F472" s="17">
        <f t="shared" si="22"/>
        <v>0.76406075702075393</v>
      </c>
      <c r="G472" s="17">
        <f t="shared" si="23"/>
        <v>0.97840005677745723</v>
      </c>
    </row>
    <row r="473" spans="1:7" x14ac:dyDescent="0.2">
      <c r="A473" s="6">
        <v>45926</v>
      </c>
      <c r="B473" s="16">
        <v>14.230499999999999</v>
      </c>
      <c r="C473" s="30">
        <v>0.65</v>
      </c>
      <c r="D473" s="26">
        <v>83.915999999999997</v>
      </c>
      <c r="E473" s="17">
        <f t="shared" si="21"/>
        <v>-0.48245798108229904</v>
      </c>
      <c r="F473" s="17">
        <f t="shared" si="22"/>
        <v>0.59645956049417159</v>
      </c>
      <c r="G473" s="17">
        <f t="shared" si="23"/>
        <v>0.18302036155674681</v>
      </c>
    </row>
    <row r="474" spans="1:7" x14ac:dyDescent="0.2">
      <c r="A474" s="6">
        <v>45933</v>
      </c>
      <c r="B474" s="16">
        <v>13.9274</v>
      </c>
      <c r="C474" s="30">
        <v>0.57250000000000001</v>
      </c>
      <c r="D474" s="26">
        <v>78.567999999999998</v>
      </c>
      <c r="E474" s="17">
        <f t="shared" si="21"/>
        <v>-0.59597197744055974</v>
      </c>
      <c r="F474" s="17">
        <f t="shared" si="22"/>
        <v>0.68452120612678269</v>
      </c>
      <c r="G474" s="17">
        <f t="shared" si="23"/>
        <v>0.48573105114117326</v>
      </c>
    </row>
    <row r="475" spans="1:7" x14ac:dyDescent="0.2">
      <c r="A475" s="6">
        <v>45940</v>
      </c>
      <c r="B475" s="16">
        <v>14.173299999999999</v>
      </c>
      <c r="C475" s="30">
        <v>0.50749999999999995</v>
      </c>
      <c r="D475" s="26">
        <v>81.283000000000001</v>
      </c>
      <c r="E475" s="17">
        <f t="shared" si="21"/>
        <v>-0.50387995598065771</v>
      </c>
      <c r="F475" s="17">
        <f t="shared" si="22"/>
        <v>0.75837936052832744</v>
      </c>
      <c r="G475" s="17">
        <f t="shared" si="23"/>
        <v>0.33205499986560877</v>
      </c>
    </row>
    <row r="476" spans="1:7" x14ac:dyDescent="0.2">
      <c r="A476" s="6">
        <v>45947</v>
      </c>
      <c r="B476" s="16">
        <v>13.7873</v>
      </c>
      <c r="C476" s="30">
        <v>0.49249999999999999</v>
      </c>
      <c r="D476" s="26">
        <v>82.096999999999994</v>
      </c>
      <c r="E476" s="17">
        <f t="shared" si="21"/>
        <v>-0.64844083553951193</v>
      </c>
      <c r="F476" s="17">
        <f t="shared" si="22"/>
        <v>0.77542355000560703</v>
      </c>
      <c r="G476" s="17">
        <f t="shared" si="23"/>
        <v>0.2859804857815173</v>
      </c>
    </row>
    <row r="477" spans="1:7" x14ac:dyDescent="0.2">
      <c r="A477" s="6">
        <v>45954</v>
      </c>
      <c r="B477" s="16">
        <v>14.748799999999999</v>
      </c>
      <c r="C477" s="30">
        <v>0.47749999999999998</v>
      </c>
      <c r="D477" s="26">
        <v>79.335999999999999</v>
      </c>
      <c r="E477" s="17">
        <f t="shared" si="21"/>
        <v>-0.28834942181972323</v>
      </c>
      <c r="F477" s="17">
        <f t="shared" si="22"/>
        <v>0.7924677394828864</v>
      </c>
      <c r="G477" s="17">
        <f t="shared" si="23"/>
        <v>0.44226025652620699</v>
      </c>
    </row>
    <row r="478" spans="1:7" x14ac:dyDescent="0.2">
      <c r="A478" s="6">
        <v>45961</v>
      </c>
      <c r="B478" s="16">
        <v>14.6183</v>
      </c>
      <c r="C478" s="30">
        <v>0.45500000000000002</v>
      </c>
      <c r="D478" s="26">
        <v>73.715999999999994</v>
      </c>
      <c r="E478" s="17">
        <f t="shared" si="21"/>
        <v>-0.33722298343223733</v>
      </c>
      <c r="F478" s="17">
        <f t="shared" si="22"/>
        <v>0.81803402369880573</v>
      </c>
      <c r="G478" s="17">
        <f t="shared" si="23"/>
        <v>0.76036685253676761</v>
      </c>
    </row>
    <row r="479" spans="1:7" x14ac:dyDescent="0.2">
      <c r="A479" s="6">
        <v>45968</v>
      </c>
      <c r="B479" s="16">
        <v>15.039199999999999</v>
      </c>
      <c r="C479" s="30">
        <v>0.49</v>
      </c>
      <c r="D479" s="26">
        <v>76.641000000000005</v>
      </c>
      <c r="E479" s="17">
        <f t="shared" si="21"/>
        <v>-0.17959170310497882</v>
      </c>
      <c r="F479" s="17">
        <f t="shared" si="22"/>
        <v>0.77826424825182017</v>
      </c>
      <c r="G479" s="17">
        <f t="shared" si="23"/>
        <v>0.5948042558586728</v>
      </c>
    </row>
    <row r="480" spans="1:7" x14ac:dyDescent="0.2">
      <c r="A480" s="6">
        <v>45975</v>
      </c>
      <c r="B480" s="16">
        <v>14.8284</v>
      </c>
      <c r="C480" s="30">
        <v>0.47</v>
      </c>
      <c r="D480" s="26">
        <v>74.981999999999999</v>
      </c>
      <c r="E480" s="17">
        <f t="shared" si="21"/>
        <v>-0.25853842178634251</v>
      </c>
      <c r="F480" s="17">
        <f t="shared" si="22"/>
        <v>0.80098983422152625</v>
      </c>
      <c r="G480" s="17">
        <f t="shared" si="23"/>
        <v>0.6887079645386589</v>
      </c>
    </row>
    <row r="481" spans="1:7" x14ac:dyDescent="0.2">
      <c r="A481" s="6">
        <v>45982</v>
      </c>
      <c r="B481" s="16">
        <v>14.887700000000001</v>
      </c>
      <c r="C481" s="30">
        <v>0.45</v>
      </c>
      <c r="D481" s="26">
        <v>77.841999999999999</v>
      </c>
      <c r="E481" s="17">
        <f t="shared" si="21"/>
        <v>-0.23632997578157533</v>
      </c>
      <c r="F481" s="17">
        <f t="shared" si="22"/>
        <v>0.82371542019123234</v>
      </c>
      <c r="G481" s="17">
        <f t="shared" si="23"/>
        <v>0.52682453667563356</v>
      </c>
    </row>
    <row r="482" spans="1:7" x14ac:dyDescent="0.2">
      <c r="A482" s="6">
        <v>45989</v>
      </c>
      <c r="B482" s="16">
        <v>15.436500000000001</v>
      </c>
      <c r="C482" s="30">
        <v>0.42749999999999999</v>
      </c>
      <c r="D482" s="26">
        <v>73.311000000000007</v>
      </c>
      <c r="E482" s="17">
        <f t="shared" si="21"/>
        <v>-3.0798859973545981E-2</v>
      </c>
      <c r="F482" s="17">
        <f t="shared" si="22"/>
        <v>0.84928170440715167</v>
      </c>
      <c r="G482" s="17">
        <f t="shared" si="23"/>
        <v>0.783290904384503</v>
      </c>
    </row>
    <row r="483" spans="1:7" x14ac:dyDescent="0.2">
      <c r="A483" s="6">
        <v>45996</v>
      </c>
      <c r="B483" s="16">
        <v>15.5229</v>
      </c>
      <c r="C483" s="30">
        <v>0.38</v>
      </c>
      <c r="D483" s="26">
        <v>72.13</v>
      </c>
      <c r="E483" s="17">
        <f t="shared" si="21"/>
        <v>1.5588084043942645E-3</v>
      </c>
      <c r="F483" s="17">
        <f t="shared" si="22"/>
        <v>0.90325497108520358</v>
      </c>
      <c r="G483" s="17">
        <f t="shared" si="23"/>
        <v>0.85013857162444528</v>
      </c>
    </row>
    <row r="484" spans="1:7" x14ac:dyDescent="0.2">
      <c r="A484" s="6">
        <v>46003</v>
      </c>
      <c r="B484" s="16">
        <v>15.3833</v>
      </c>
      <c r="C484" s="30">
        <v>0.38</v>
      </c>
      <c r="D484" s="26">
        <v>72.472999999999999</v>
      </c>
      <c r="E484" s="17">
        <f t="shared" si="21"/>
        <v>-5.0722794669222429E-2</v>
      </c>
      <c r="F484" s="17">
        <f t="shared" si="22"/>
        <v>0.90325497108520358</v>
      </c>
      <c r="G484" s="17">
        <f t="shared" si="23"/>
        <v>0.83072388080031301</v>
      </c>
    </row>
    <row r="485" spans="1:7" x14ac:dyDescent="0.2">
      <c r="A485" s="6">
        <v>46010</v>
      </c>
      <c r="B485" s="16">
        <v>15.414300000000001</v>
      </c>
      <c r="C485" s="30">
        <v>0.32750000000000001</v>
      </c>
      <c r="D485" s="26">
        <v>69.685000000000002</v>
      </c>
      <c r="E485" s="17">
        <f t="shared" si="21"/>
        <v>-3.9112983098433383E-2</v>
      </c>
      <c r="F485" s="17">
        <f t="shared" si="22"/>
        <v>0.96290963425568199</v>
      </c>
      <c r="G485" s="17">
        <f t="shared" si="23"/>
        <v>0.98853192166818515</v>
      </c>
    </row>
    <row r="486" spans="1:7" x14ac:dyDescent="0.2">
      <c r="A486" s="6">
        <v>46017</v>
      </c>
      <c r="B486" s="16">
        <v>15.2323</v>
      </c>
      <c r="C486" s="30">
        <v>0.34</v>
      </c>
      <c r="D486" s="26">
        <v>69.563000000000002</v>
      </c>
      <c r="E486" s="17">
        <f t="shared" si="21"/>
        <v>-0.10727381232048408</v>
      </c>
      <c r="F486" s="17">
        <f t="shared" si="22"/>
        <v>0.94870614302461564</v>
      </c>
      <c r="G486" s="17">
        <f t="shared" si="23"/>
        <v>0.99543743852108335</v>
      </c>
    </row>
    <row r="487" spans="1:7" x14ac:dyDescent="0.2">
      <c r="A487" s="6">
        <v>46024</v>
      </c>
      <c r="B487" s="16">
        <v>15.3285</v>
      </c>
      <c r="C487" s="30">
        <v>0.34</v>
      </c>
      <c r="D487" s="26">
        <v>68.453999999999994</v>
      </c>
      <c r="E487" s="17">
        <f t="shared" si="21"/>
        <v>-7.1245945445971792E-2</v>
      </c>
      <c r="F487" s="17">
        <f t="shared" si="22"/>
        <v>0.94870614302461564</v>
      </c>
      <c r="G487" s="17">
        <f t="shared" si="23"/>
        <v>1.0582097187658723</v>
      </c>
    </row>
    <row r="488" spans="1:7" x14ac:dyDescent="0.2">
      <c r="A488" s="6">
        <v>46031</v>
      </c>
      <c r="B488" s="16">
        <v>15.4123</v>
      </c>
      <c r="C488" s="30">
        <v>0.3725</v>
      </c>
      <c r="D488" s="26">
        <v>70.197000000000003</v>
      </c>
      <c r="E488" s="17">
        <f t="shared" si="21"/>
        <v>-3.9862003199774849E-2</v>
      </c>
      <c r="F488" s="17">
        <f t="shared" si="22"/>
        <v>0.91177706582384332</v>
      </c>
      <c r="G488" s="17">
        <f t="shared" si="23"/>
        <v>0.95955139192487426</v>
      </c>
    </row>
    <row r="489" spans="1:7" x14ac:dyDescent="0.2">
      <c r="A489" s="6">
        <v>46038</v>
      </c>
      <c r="B489" s="16">
        <v>15.616899999999999</v>
      </c>
      <c r="C489" s="30">
        <v>0.34</v>
      </c>
      <c r="D489" s="26">
        <v>71.082999999999998</v>
      </c>
      <c r="E489" s="17">
        <f t="shared" si="21"/>
        <v>3.6762753167431148E-2</v>
      </c>
      <c r="F489" s="17">
        <f t="shared" si="22"/>
        <v>0.94870614302461564</v>
      </c>
      <c r="G489" s="17">
        <f t="shared" si="23"/>
        <v>0.9094014908456296</v>
      </c>
    </row>
    <row r="490" spans="1:7" x14ac:dyDescent="0.2">
      <c r="A490" s="6">
        <v>46045</v>
      </c>
      <c r="B490" s="16">
        <v>15.1572</v>
      </c>
      <c r="C490" s="30">
        <v>0.43</v>
      </c>
      <c r="D490" s="26">
        <v>73.951999999999998</v>
      </c>
      <c r="E490" s="17">
        <f t="shared" si="21"/>
        <v>-0.13539951712584702</v>
      </c>
      <c r="F490" s="17">
        <f t="shared" si="22"/>
        <v>0.84644100616093843</v>
      </c>
      <c r="G490" s="17">
        <f t="shared" si="23"/>
        <v>0.74700863960821007</v>
      </c>
    </row>
    <row r="491" spans="1:7" x14ac:dyDescent="0.2">
      <c r="A491" s="6">
        <v>46052</v>
      </c>
      <c r="B491" s="16">
        <v>14.611700000000001</v>
      </c>
      <c r="C491" s="30">
        <v>0.54500000000000004</v>
      </c>
      <c r="D491" s="26">
        <v>76.363</v>
      </c>
      <c r="E491" s="17">
        <f t="shared" si="21"/>
        <v>-0.33969474976666292</v>
      </c>
      <c r="F491" s="17">
        <f t="shared" si="22"/>
        <v>0.71576888683512851</v>
      </c>
      <c r="G491" s="17">
        <f t="shared" si="23"/>
        <v>0.6105397778677365</v>
      </c>
    </row>
    <row r="492" spans="1:7" x14ac:dyDescent="0.2">
      <c r="A492" s="6">
        <v>46059</v>
      </c>
      <c r="B492" s="16">
        <v>14.2811</v>
      </c>
      <c r="C492" s="30">
        <v>0.57999999999999996</v>
      </c>
      <c r="D492" s="26">
        <v>78.241</v>
      </c>
      <c r="E492" s="17">
        <f t="shared" si="21"/>
        <v>-0.46350777251836589</v>
      </c>
      <c r="F492" s="17">
        <f t="shared" si="22"/>
        <v>0.67599911138814295</v>
      </c>
      <c r="G492" s="17">
        <f t="shared" si="23"/>
        <v>0.50424010041082679</v>
      </c>
    </row>
    <row r="493" spans="1:7" x14ac:dyDescent="0.2">
      <c r="A493" s="6">
        <v>46066</v>
      </c>
      <c r="B493" s="16">
        <v>14.3392</v>
      </c>
      <c r="C493" s="30">
        <v>0.49249999999999999</v>
      </c>
      <c r="D493" s="26">
        <v>81.543999999999997</v>
      </c>
      <c r="E493" s="17">
        <f t="shared" si="21"/>
        <v>-0.44174873857440378</v>
      </c>
      <c r="F493" s="17">
        <f t="shared" si="22"/>
        <v>0.77542355000560703</v>
      </c>
      <c r="G493" s="17">
        <f t="shared" si="23"/>
        <v>0.31728172200817906</v>
      </c>
    </row>
    <row r="494" spans="1:7" x14ac:dyDescent="0.2">
      <c r="A494" s="6">
        <v>46073</v>
      </c>
      <c r="B494" s="16">
        <v>14.344099999999999</v>
      </c>
      <c r="C494" s="30">
        <v>0.48249999999999998</v>
      </c>
      <c r="D494" s="26">
        <v>80.906000000000006</v>
      </c>
      <c r="E494" s="17">
        <f t="shared" si="21"/>
        <v>-0.43991363932611804</v>
      </c>
      <c r="F494" s="17">
        <f t="shared" si="22"/>
        <v>0.78678634299046002</v>
      </c>
      <c r="G494" s="17">
        <f t="shared" si="23"/>
        <v>0.35339417899300729</v>
      </c>
    </row>
    <row r="495" spans="1:7" x14ac:dyDescent="0.2">
      <c r="A495" s="6">
        <v>46080</v>
      </c>
      <c r="B495" s="16">
        <v>14.2575</v>
      </c>
      <c r="C495" s="30">
        <v>0.54500000000000004</v>
      </c>
      <c r="D495" s="26">
        <v>83.855000000000004</v>
      </c>
      <c r="E495" s="17">
        <f t="shared" si="21"/>
        <v>-0.47234620971419228</v>
      </c>
      <c r="F495" s="17">
        <f t="shared" si="22"/>
        <v>0.71576888683512851</v>
      </c>
      <c r="G495" s="17">
        <f t="shared" si="23"/>
        <v>0.18647311998319555</v>
      </c>
    </row>
    <row r="496" spans="1:7" x14ac:dyDescent="0.2">
      <c r="A496" s="6">
        <v>46087</v>
      </c>
      <c r="B496" s="16">
        <v>13.202299999999999</v>
      </c>
      <c r="C496" s="30">
        <v>0.7</v>
      </c>
      <c r="D496" s="26">
        <v>86.506</v>
      </c>
      <c r="E496" s="17">
        <f t="shared" si="21"/>
        <v>-0.86752921518181758</v>
      </c>
      <c r="F496" s="17">
        <f t="shared" si="22"/>
        <v>0.53964559556990654</v>
      </c>
      <c r="G496" s="17">
        <f t="shared" si="23"/>
        <v>3.6419634925545293E-2</v>
      </c>
    </row>
    <row r="497" spans="1:7" x14ac:dyDescent="0.2">
      <c r="A497" s="6">
        <v>46094</v>
      </c>
      <c r="B497" s="16">
        <v>12.392899999999999</v>
      </c>
      <c r="C497" s="30">
        <v>0.89</v>
      </c>
      <c r="D497" s="26">
        <v>92.454999999999998</v>
      </c>
      <c r="E497" s="17">
        <f t="shared" si="21"/>
        <v>-1.1706576501946073</v>
      </c>
      <c r="F497" s="17">
        <f t="shared" si="22"/>
        <v>0.32375252885769884</v>
      </c>
      <c r="G497" s="17">
        <f t="shared" si="23"/>
        <v>-0.30030921554897844</v>
      </c>
    </row>
    <row r="498" spans="1:7" x14ac:dyDescent="0.2">
      <c r="A498" s="6">
        <v>46101</v>
      </c>
      <c r="B498" s="16">
        <v>12.604900000000001</v>
      </c>
      <c r="C498" s="30">
        <v>1.2549999999999999</v>
      </c>
      <c r="D498" s="26">
        <v>101.87</v>
      </c>
      <c r="E498" s="17">
        <f t="shared" si="21"/>
        <v>-1.091261519452438</v>
      </c>
      <c r="F498" s="17">
        <f t="shared" si="22"/>
        <v>-9.0989415089436795E-2</v>
      </c>
      <c r="G498" s="17">
        <f t="shared" si="23"/>
        <v>-0.83322266776239984</v>
      </c>
    </row>
    <row r="499" spans="1:7" x14ac:dyDescent="0.2">
      <c r="A499" s="6">
        <v>46108</v>
      </c>
      <c r="B499" s="16">
        <v>11.233599999999999</v>
      </c>
      <c r="C499" s="30">
        <v>1.335</v>
      </c>
      <c r="D499" s="26">
        <v>103.343</v>
      </c>
      <c r="E499" s="17">
        <f t="shared" si="21"/>
        <v>-1.6048271519370425</v>
      </c>
      <c r="F499" s="17">
        <f t="shared" si="22"/>
        <v>-0.18189175896826115</v>
      </c>
      <c r="G499" s="17">
        <f t="shared" si="23"/>
        <v>-0.91659829337157328</v>
      </c>
    </row>
    <row r="500" spans="1:7" x14ac:dyDescent="0.2">
      <c r="A500" s="6">
        <v>46115</v>
      </c>
      <c r="B500" s="16">
        <v>11.296099999999999</v>
      </c>
      <c r="C500" s="30">
        <v>1.8725000000000001</v>
      </c>
      <c r="D500" s="26">
        <v>97.206000000000003</v>
      </c>
      <c r="E500" s="17">
        <f t="shared" si="21"/>
        <v>-1.5814202737701295</v>
      </c>
      <c r="F500" s="17">
        <f t="shared" si="22"/>
        <v>-0.79264188190411178</v>
      </c>
      <c r="G500" s="17">
        <f t="shared" si="23"/>
        <v>-0.56922815463192755</v>
      </c>
    </row>
    <row r="501" spans="1:7" x14ac:dyDescent="0.2">
      <c r="A501" s="6">
        <v>46122</v>
      </c>
      <c r="B501" s="16">
        <v>11.972099999999999</v>
      </c>
      <c r="C501" s="30">
        <v>1.2549999999999999</v>
      </c>
      <c r="D501" s="26">
        <v>87.662000000000006</v>
      </c>
      <c r="E501" s="17">
        <f t="shared" si="21"/>
        <v>-1.3282514795167988</v>
      </c>
      <c r="F501" s="17">
        <f t="shared" si="22"/>
        <v>-9.0989415089436795E-2</v>
      </c>
      <c r="G501" s="17">
        <f t="shared" si="23"/>
        <v>-2.9012967385524051E-2</v>
      </c>
    </row>
    <row r="502" spans="1:7" x14ac:dyDescent="0.2">
      <c r="A502" s="6">
        <v>46129</v>
      </c>
      <c r="B502" s="16">
        <v>12.0342</v>
      </c>
      <c r="C502" s="30">
        <v>1.1000000000000001</v>
      </c>
      <c r="D502" s="26">
        <v>82.415999999999997</v>
      </c>
      <c r="E502" s="17">
        <f t="shared" si="21"/>
        <v>-1.3049944053701539</v>
      </c>
      <c r="F502" s="17">
        <f t="shared" si="22"/>
        <v>8.5133876175785023E-2</v>
      </c>
      <c r="G502" s="17">
        <f t="shared" si="23"/>
        <v>0.2679242572891028</v>
      </c>
    </row>
    <row r="503" spans="1:7" x14ac:dyDescent="0.2">
      <c r="A503" s="6">
        <v>46136</v>
      </c>
      <c r="B503" s="16">
        <v>11.2118</v>
      </c>
      <c r="C503" s="30">
        <v>1.0349999999999999</v>
      </c>
      <c r="D503" s="26">
        <v>89.447999999999993</v>
      </c>
      <c r="E503" s="17">
        <f t="shared" si="21"/>
        <v>-1.6129914710416613</v>
      </c>
      <c r="F503" s="17">
        <f t="shared" si="22"/>
        <v>0.15899203057732994</v>
      </c>
      <c r="G503" s="17">
        <f t="shared" si="23"/>
        <v>-0.13010520590418184</v>
      </c>
    </row>
    <row r="504" spans="1:7" x14ac:dyDescent="0.2">
      <c r="A504" s="6">
        <v>46143</v>
      </c>
      <c r="B504" s="16">
        <v>10.861599999999999</v>
      </c>
      <c r="C504" s="30">
        <v>1.085</v>
      </c>
      <c r="D504" s="26">
        <v>91.444999999999993</v>
      </c>
      <c r="E504" s="17">
        <f t="shared" si="21"/>
        <v>-1.7441448907865085</v>
      </c>
      <c r="F504" s="17">
        <f t="shared" si="22"/>
        <v>0.10217806565306471</v>
      </c>
      <c r="G504" s="17">
        <f t="shared" si="23"/>
        <v>-0.24314059242252509</v>
      </c>
    </row>
    <row r="505" spans="1:7" x14ac:dyDescent="0.2">
      <c r="A505" s="6">
        <v>46150</v>
      </c>
      <c r="B505" s="16">
        <v>11.1919</v>
      </c>
      <c r="C505" s="30">
        <v>0.8</v>
      </c>
      <c r="D505" s="26">
        <v>83.738</v>
      </c>
      <c r="E505" s="17">
        <f t="shared" si="21"/>
        <v>-1.6204442210500063</v>
      </c>
      <c r="F505" s="17">
        <f t="shared" si="22"/>
        <v>0.42601766572137612</v>
      </c>
      <c r="G505" s="17">
        <f t="shared" si="23"/>
        <v>0.19309562385031956</v>
      </c>
    </row>
    <row r="506" spans="1:7" x14ac:dyDescent="0.2">
      <c r="A506" s="6">
        <v>46157</v>
      </c>
      <c r="B506" s="16">
        <v>10.7659</v>
      </c>
      <c r="C506" s="30">
        <v>0.90500000000000003</v>
      </c>
      <c r="D506" s="26">
        <v>87.096999999999994</v>
      </c>
      <c r="E506" s="17">
        <f t="shared" si="21"/>
        <v>-1.7799855026356852</v>
      </c>
      <c r="F506" s="17">
        <f t="shared" si="22"/>
        <v>0.30670833938041925</v>
      </c>
      <c r="G506" s="17">
        <f t="shared" si="23"/>
        <v>2.967500006997378E-3</v>
      </c>
    </row>
    <row r="507" spans="1:7" x14ac:dyDescent="0.2">
      <c r="A507" s="6">
        <v>46164</v>
      </c>
      <c r="B507" s="16">
        <v>10.0532</v>
      </c>
      <c r="C507" s="30">
        <v>0.89500000000000002</v>
      </c>
      <c r="D507" s="26">
        <v>91.873000000000005</v>
      </c>
      <c r="E507" s="17">
        <f t="shared" si="21"/>
        <v>-2.046898815748627</v>
      </c>
      <c r="F507" s="17">
        <f t="shared" si="22"/>
        <v>0.31807113236527229</v>
      </c>
      <c r="G507" s="17">
        <f t="shared" si="23"/>
        <v>-0.26736650400482465</v>
      </c>
    </row>
    <row r="508" spans="1:7" x14ac:dyDescent="0.2">
      <c r="A508" s="6">
        <v>46171</v>
      </c>
      <c r="B508" s="16">
        <v>10.0059</v>
      </c>
      <c r="C508" s="30">
        <v>1.0349999999999999</v>
      </c>
      <c r="D508" s="26">
        <v>89.590999999999994</v>
      </c>
      <c r="E508" s="17">
        <f t="shared" si="21"/>
        <v>-2.064613141145347</v>
      </c>
      <c r="F508" s="17">
        <f t="shared" si="22"/>
        <v>0.15899203057732994</v>
      </c>
      <c r="G508" s="17">
        <f t="shared" si="23"/>
        <v>-0.13819937729733314</v>
      </c>
    </row>
    <row r="509" spans="1:7" x14ac:dyDescent="0.2">
      <c r="A509" s="6">
        <v>46178</v>
      </c>
      <c r="B509" s="16">
        <v>8.6738999999999997</v>
      </c>
      <c r="C509" s="30">
        <v>1.395</v>
      </c>
      <c r="D509" s="26">
        <v>97.037999999999997</v>
      </c>
      <c r="E509" s="17">
        <f t="shared" si="21"/>
        <v>-2.5634605286385961</v>
      </c>
      <c r="F509" s="17">
        <f t="shared" si="22"/>
        <v>-0.25006851687737941</v>
      </c>
      <c r="G509" s="17">
        <f t="shared" si="23"/>
        <v>-0.55971891830990328</v>
      </c>
    </row>
    <row r="510" spans="1:7" x14ac:dyDescent="0.2">
      <c r="A510" s="6">
        <v>46185</v>
      </c>
      <c r="B510" s="16">
        <v>9.4284999999999997</v>
      </c>
      <c r="C510" s="30">
        <v>0.76</v>
      </c>
      <c r="D510" s="26">
        <v>92.753</v>
      </c>
      <c r="E510" s="17">
        <f t="shared" si="21"/>
        <v>-2.2808552444025558</v>
      </c>
      <c r="F510" s="17">
        <f t="shared" si="22"/>
        <v>0.47146883766078829</v>
      </c>
      <c r="G510" s="17">
        <f t="shared" si="23"/>
        <v>-0.31717678950113992</v>
      </c>
    </row>
    <row r="511" spans="1:7" x14ac:dyDescent="0.2">
      <c r="A511" s="6">
        <v>46192</v>
      </c>
      <c r="B511" s="16">
        <v>9.6868999999999996</v>
      </c>
      <c r="C511" s="30">
        <v>0.69499999999999995</v>
      </c>
      <c r="D511" s="26">
        <v>86.617999999999995</v>
      </c>
      <c r="E511" s="17">
        <f t="shared" si="21"/>
        <v>-2.1840818473092707</v>
      </c>
      <c r="F511" s="17">
        <f t="shared" si="22"/>
        <v>0.54532699206233304</v>
      </c>
      <c r="G511" s="17">
        <f t="shared" si="23"/>
        <v>3.0080144044196341E-2</v>
      </c>
    </row>
    <row r="512" spans="1:7" x14ac:dyDescent="0.2">
      <c r="A512" s="6">
        <v>46199</v>
      </c>
      <c r="B512" s="16">
        <v>9.2524999999999995</v>
      </c>
      <c r="C512" s="30">
        <v>0.73499999999999999</v>
      </c>
      <c r="D512" s="26">
        <v>89.903000000000006</v>
      </c>
      <c r="E512" s="17">
        <f t="shared" si="21"/>
        <v>-2.346769013320583</v>
      </c>
      <c r="F512" s="17">
        <f t="shared" si="22"/>
        <v>0.49987582012292087</v>
      </c>
      <c r="G512" s="17">
        <f t="shared" si="23"/>
        <v>-0.15585938760966386</v>
      </c>
    </row>
    <row r="513" spans="1:7" x14ac:dyDescent="0.2">
      <c r="A513" s="6">
        <v>46206</v>
      </c>
      <c r="B513" s="16">
        <v>9.1616</v>
      </c>
      <c r="C513" s="30">
        <v>0.73499999999999999</v>
      </c>
      <c r="D513" s="26">
        <v>89.938000000000002</v>
      </c>
      <c r="E513" s="17">
        <f t="shared" si="21"/>
        <v>-2.380811976926541</v>
      </c>
      <c r="F513" s="17">
        <f t="shared" si="22"/>
        <v>0.49987582012292087</v>
      </c>
      <c r="G513" s="17">
        <f t="shared" si="23"/>
        <v>-0.15784047851008531</v>
      </c>
    </row>
    <row r="514" spans="1:7" x14ac:dyDescent="0.2">
      <c r="A514" s="6">
        <v>46213</v>
      </c>
      <c r="B514" s="16">
        <v>9.3375000000000004</v>
      </c>
      <c r="C514" s="30">
        <v>0.77500000000000002</v>
      </c>
      <c r="D514" s="26">
        <v>90.888000000000005</v>
      </c>
      <c r="E514" s="17">
        <f t="shared" si="21"/>
        <v>-2.3149356590135808</v>
      </c>
      <c r="F514" s="17">
        <f t="shared" si="22"/>
        <v>0.45442464818350869</v>
      </c>
      <c r="G514" s="17">
        <f t="shared" si="23"/>
        <v>-0.21161294580724427</v>
      </c>
    </row>
    <row r="515" spans="1:7" x14ac:dyDescent="0.2">
      <c r="A515" s="6">
        <v>46220</v>
      </c>
      <c r="B515" s="16">
        <v>9.9334000000000007</v>
      </c>
      <c r="C515" s="30">
        <v>0.65500000000000003</v>
      </c>
      <c r="D515" s="26">
        <v>91.938000000000002</v>
      </c>
      <c r="E515" s="17">
        <f t="shared" si="21"/>
        <v>-2.091765119818966</v>
      </c>
      <c r="F515" s="17">
        <f t="shared" si="22"/>
        <v>0.5907781640017451</v>
      </c>
      <c r="G515" s="17">
        <f t="shared" si="23"/>
        <v>-0.27104567281989328</v>
      </c>
    </row>
    <row r="516" spans="1:7" x14ac:dyDescent="0.2">
      <c r="A516" s="6">
        <v>46227</v>
      </c>
      <c r="B516" s="16">
        <v>9.7445000000000004</v>
      </c>
      <c r="C516" s="30">
        <v>0.63500000000000001</v>
      </c>
      <c r="D516" s="26">
        <v>93.888000000000005</v>
      </c>
      <c r="E516" s="17">
        <f t="shared" si="21"/>
        <v>-2.1625100683906435</v>
      </c>
      <c r="F516" s="17">
        <f t="shared" si="22"/>
        <v>0.61350374997145118</v>
      </c>
      <c r="G516" s="17">
        <f t="shared" si="23"/>
        <v>-0.38142073727195619</v>
      </c>
    </row>
    <row r="517" spans="1:7" x14ac:dyDescent="0.2">
      <c r="A517" s="6">
        <v>46234</v>
      </c>
      <c r="B517" s="16">
        <v>9.8940000000000001</v>
      </c>
      <c r="C517" s="30">
        <v>0.63</v>
      </c>
      <c r="D517" s="26">
        <v>93.600999999999999</v>
      </c>
      <c r="E517" s="17">
        <f t="shared" si="21"/>
        <v>-2.1065208158153879</v>
      </c>
      <c r="F517" s="17">
        <f t="shared" si="22"/>
        <v>0.61918514646387768</v>
      </c>
      <c r="G517" s="17">
        <f t="shared" si="23"/>
        <v>-0.36517579188849841</v>
      </c>
    </row>
    <row r="518" spans="1:7" x14ac:dyDescent="0.2">
      <c r="A518" s="6">
        <v>46241</v>
      </c>
      <c r="B518" s="16">
        <v>10.0945</v>
      </c>
      <c r="C518" s="30">
        <v>0.56999999999999995</v>
      </c>
      <c r="D518" s="26">
        <v>90.381</v>
      </c>
      <c r="E518" s="17">
        <f t="shared" ref="E518:E527" si="24">IF(ISNUMBER(B518),(B518-$J$6)/$J$7,"")</f>
        <v>-2.0314315506559311</v>
      </c>
      <c r="F518" s="17">
        <f t="shared" ref="F518:F527" si="25">IF(ISNUMBER(C518),-(C518-$J$8)/$J$9,"")</f>
        <v>0.68736190437299594</v>
      </c>
      <c r="G518" s="17">
        <f t="shared" ref="G518:G527" si="26">IF(ISNUMBER(D518),-(D518-$J$10)/$J$11,"")</f>
        <v>-0.18291542904970765</v>
      </c>
    </row>
    <row r="519" spans="1:7" x14ac:dyDescent="0.2">
      <c r="A519" s="6">
        <v>46248</v>
      </c>
      <c r="B519" s="16">
        <v>9.9635999999999996</v>
      </c>
      <c r="C519" s="30">
        <v>0.56000000000000005</v>
      </c>
      <c r="D519" s="26">
        <v>84.275000000000006</v>
      </c>
      <c r="E519" s="17">
        <f t="shared" si="24"/>
        <v>-2.0804549162887138</v>
      </c>
      <c r="F519" s="17">
        <f t="shared" si="25"/>
        <v>0.69872469735784892</v>
      </c>
      <c r="G519" s="17">
        <f t="shared" si="26"/>
        <v>0.16270002917813578</v>
      </c>
    </row>
    <row r="520" spans="1:7" x14ac:dyDescent="0.2">
      <c r="A520" s="6">
        <v>46255</v>
      </c>
      <c r="B520" s="16">
        <v>10.1508</v>
      </c>
      <c r="C520" s="30">
        <v>0.38500000000000001</v>
      </c>
      <c r="D520" s="26">
        <v>84.501999999999995</v>
      </c>
      <c r="E520" s="17">
        <f t="shared" si="24"/>
        <v>-2.010346634803176</v>
      </c>
      <c r="F520" s="17">
        <f t="shared" si="25"/>
        <v>0.89757357459277709</v>
      </c>
      <c r="G520" s="17">
        <f t="shared" si="26"/>
        <v>0.14985123962397315</v>
      </c>
    </row>
    <row r="521" spans="1:7" x14ac:dyDescent="0.2">
      <c r="A521" s="6">
        <v>46262</v>
      </c>
      <c r="B521" s="16">
        <v>10.1707</v>
      </c>
      <c r="C521" s="30">
        <v>0.34</v>
      </c>
      <c r="D521" s="26">
        <v>84.340999999999994</v>
      </c>
      <c r="E521" s="17">
        <f t="shared" si="24"/>
        <v>-2.002893884794831</v>
      </c>
      <c r="F521" s="17">
        <f t="shared" si="25"/>
        <v>0.94870614302461564</v>
      </c>
      <c r="G521" s="17">
        <f t="shared" si="26"/>
        <v>0.15896425776591278</v>
      </c>
    </row>
    <row r="522" spans="1:7" x14ac:dyDescent="0.2">
      <c r="A522" s="6">
        <v>46269</v>
      </c>
      <c r="B522" s="16">
        <v>10.169499999999999</v>
      </c>
      <c r="C522" s="30">
        <v>0.4</v>
      </c>
      <c r="D522" s="26">
        <v>83.638000000000005</v>
      </c>
      <c r="E522" s="17">
        <f t="shared" si="24"/>
        <v>-2.0033432968556357</v>
      </c>
      <c r="F522" s="17">
        <f t="shared" si="25"/>
        <v>0.8805293851154975</v>
      </c>
      <c r="G522" s="17">
        <f t="shared" si="26"/>
        <v>0.19875588356580964</v>
      </c>
    </row>
    <row r="523" spans="1:7" x14ac:dyDescent="0.2">
      <c r="A523" s="6">
        <v>46276</v>
      </c>
      <c r="B523" s="16">
        <v>9.8675999999999995</v>
      </c>
      <c r="C523" s="30">
        <v>0.28499999999999998</v>
      </c>
      <c r="D523" s="26">
        <v>82.753</v>
      </c>
      <c r="E523" s="17">
        <f t="shared" si="24"/>
        <v>-2.116407881153092</v>
      </c>
      <c r="F523" s="17">
        <f t="shared" si="25"/>
        <v>1.0112015044413074</v>
      </c>
      <c r="G523" s="17">
        <f t="shared" si="26"/>
        <v>0.24884918204789996</v>
      </c>
    </row>
    <row r="524" spans="1:7" x14ac:dyDescent="0.2">
      <c r="A524" s="6">
        <v>46283</v>
      </c>
      <c r="B524" s="16">
        <v>9.7872000000000003</v>
      </c>
      <c r="C524" s="30">
        <v>0.35499999999999998</v>
      </c>
      <c r="D524" s="26">
        <v>82.007999999999996</v>
      </c>
      <c r="E524" s="17">
        <f t="shared" si="24"/>
        <v>-2.1465184892270086</v>
      </c>
      <c r="F524" s="17">
        <f t="shared" si="25"/>
        <v>0.93166195354733616</v>
      </c>
      <c r="G524" s="17">
        <f t="shared" si="26"/>
        <v>0.29101811692830371</v>
      </c>
    </row>
    <row r="525" spans="1:7" x14ac:dyDescent="0.2">
      <c r="A525" s="6">
        <v>46290</v>
      </c>
      <c r="B525" s="16">
        <v>9.4227000000000007</v>
      </c>
      <c r="C525" s="30">
        <v>0.35499999999999998</v>
      </c>
      <c r="D525" s="26">
        <v>88.275000000000006</v>
      </c>
      <c r="E525" s="17">
        <f t="shared" si="24"/>
        <v>-2.2830274026964448</v>
      </c>
      <c r="F525" s="17">
        <f t="shared" si="25"/>
        <v>0.93166195354733616</v>
      </c>
      <c r="G525" s="17">
        <f t="shared" si="26"/>
        <v>-6.3710359441480166E-2</v>
      </c>
    </row>
    <row r="526" spans="1:7" x14ac:dyDescent="0.2">
      <c r="A526" s="6">
        <v>46297</v>
      </c>
      <c r="B526" s="16">
        <v>9.1676000000000002</v>
      </c>
      <c r="C526" s="30">
        <v>0.375</v>
      </c>
      <c r="D526" s="26">
        <v>94.396000000000001</v>
      </c>
      <c r="E526" s="17">
        <f t="shared" si="24"/>
        <v>-2.3785649166225169</v>
      </c>
      <c r="F526" s="17">
        <f t="shared" si="25"/>
        <v>0.90893636757763008</v>
      </c>
      <c r="G526" s="17">
        <f t="shared" si="26"/>
        <v>-0.41017485662664721</v>
      </c>
    </row>
    <row r="527" spans="1:7" x14ac:dyDescent="0.2">
      <c r="A527" s="6">
        <v>46304</v>
      </c>
      <c r="B527" s="16">
        <v>9.2078000000000007</v>
      </c>
      <c r="C527" s="30">
        <v>0.40500000000000003</v>
      </c>
      <c r="D527" s="26">
        <v>92.2</v>
      </c>
      <c r="E527" s="17">
        <f t="shared" si="24"/>
        <v>-2.3635096125855584</v>
      </c>
      <c r="F527" s="17">
        <f t="shared" si="25"/>
        <v>0.874847988623071</v>
      </c>
      <c r="G527" s="17">
        <f t="shared" si="26"/>
        <v>-0.28587555327447817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8"/>
  <sheetViews>
    <sheetView workbookViewId="0"/>
  </sheetViews>
  <sheetFormatPr baseColWidth="10" defaultColWidth="8.83203125" defaultRowHeight="15" x14ac:dyDescent="0.2"/>
  <cols>
    <col min="1" max="1" width="24" customWidth="1"/>
    <col min="2" max="7" width="10" customWidth="1"/>
  </cols>
  <sheetData>
    <row r="1" spans="1:7" ht="16" x14ac:dyDescent="0.2">
      <c r="A1" s="1" t="s">
        <v>290</v>
      </c>
    </row>
    <row r="2" spans="1:7" x14ac:dyDescent="0.2">
      <c r="A2" s="4" t="s">
        <v>291</v>
      </c>
    </row>
    <row r="4" spans="1:7" x14ac:dyDescent="0.2">
      <c r="A4" s="5" t="s">
        <v>22</v>
      </c>
      <c r="B4" s="5" t="s">
        <v>185</v>
      </c>
      <c r="C4" s="5" t="s">
        <v>292</v>
      </c>
      <c r="D4" s="5" t="s">
        <v>293</v>
      </c>
      <c r="E4" s="5" t="s">
        <v>294</v>
      </c>
      <c r="F4" s="5" t="s">
        <v>295</v>
      </c>
      <c r="G4" s="5" t="s">
        <v>296</v>
      </c>
    </row>
    <row r="5" spans="1:7" x14ac:dyDescent="0.2">
      <c r="A5" s="6">
        <v>46017</v>
      </c>
      <c r="B5" s="9">
        <v>6355.1</v>
      </c>
      <c r="C5" s="9">
        <v>765.05</v>
      </c>
      <c r="D5" s="9">
        <v>521.84</v>
      </c>
      <c r="E5" s="9">
        <v>444.05</v>
      </c>
      <c r="F5" s="9">
        <v>1148.1199999999999</v>
      </c>
      <c r="G5" s="9">
        <v>2084</v>
      </c>
    </row>
    <row r="6" spans="1:7" x14ac:dyDescent="0.2">
      <c r="A6" s="6">
        <v>46024</v>
      </c>
      <c r="B6" s="9">
        <v>6403.48</v>
      </c>
      <c r="C6" s="9">
        <v>765.67</v>
      </c>
      <c r="D6" s="9">
        <v>519.46</v>
      </c>
      <c r="E6" s="9">
        <v>443.29</v>
      </c>
      <c r="F6" s="9">
        <v>1152.69</v>
      </c>
      <c r="G6" s="9">
        <v>2097.58</v>
      </c>
    </row>
    <row r="7" spans="1:7" x14ac:dyDescent="0.2">
      <c r="A7" s="6">
        <v>46031</v>
      </c>
      <c r="B7" s="9">
        <v>6428.32</v>
      </c>
      <c r="C7" s="9">
        <v>770.96</v>
      </c>
      <c r="D7" s="9">
        <v>525.04</v>
      </c>
      <c r="E7" s="9">
        <v>439.71</v>
      </c>
      <c r="F7" s="9">
        <v>1201.07</v>
      </c>
      <c r="G7" s="9">
        <v>2122.34</v>
      </c>
    </row>
    <row r="8" spans="1:7" x14ac:dyDescent="0.2">
      <c r="A8" s="6">
        <v>46038</v>
      </c>
      <c r="B8" s="9">
        <v>6539.69</v>
      </c>
      <c r="C8" s="9">
        <v>779.01</v>
      </c>
      <c r="D8" s="9">
        <v>534.84</v>
      </c>
      <c r="E8" s="9">
        <v>450.12</v>
      </c>
      <c r="F8" s="9">
        <v>1223.47</v>
      </c>
      <c r="G8" s="9">
        <v>2127.85</v>
      </c>
    </row>
    <row r="9" spans="1:7" x14ac:dyDescent="0.2">
      <c r="A9" s="6">
        <v>46045</v>
      </c>
      <c r="B9" s="9">
        <v>6336.29</v>
      </c>
      <c r="C9" s="9">
        <v>790.13</v>
      </c>
      <c r="D9" s="9">
        <v>536.11</v>
      </c>
      <c r="E9" s="9">
        <v>468.04</v>
      </c>
      <c r="F9" s="9">
        <v>1194.6600000000001</v>
      </c>
      <c r="G9" s="9">
        <v>2154.52</v>
      </c>
    </row>
    <row r="10" spans="1:7" x14ac:dyDescent="0.2">
      <c r="A10" s="6">
        <v>46052</v>
      </c>
      <c r="B10" s="9">
        <v>6111.5</v>
      </c>
      <c r="C10" s="9">
        <v>789.42</v>
      </c>
      <c r="D10" s="9">
        <v>542.88</v>
      </c>
      <c r="E10" s="9">
        <v>471.84</v>
      </c>
      <c r="F10" s="9">
        <v>1198.29</v>
      </c>
      <c r="G10" s="9">
        <v>2136.7800000000002</v>
      </c>
    </row>
    <row r="11" spans="1:7" x14ac:dyDescent="0.2">
      <c r="A11" s="6">
        <v>46059</v>
      </c>
      <c r="B11" s="9">
        <v>6059.34</v>
      </c>
      <c r="C11" s="9">
        <v>789.52</v>
      </c>
      <c r="D11" s="9">
        <v>540.12</v>
      </c>
      <c r="E11" s="9">
        <v>488.83</v>
      </c>
      <c r="F11" s="9">
        <v>1211.19</v>
      </c>
      <c r="G11" s="9">
        <v>2131.84</v>
      </c>
    </row>
    <row r="12" spans="1:7" x14ac:dyDescent="0.2">
      <c r="A12" s="6">
        <v>46066</v>
      </c>
      <c r="B12" s="9">
        <v>6084.3</v>
      </c>
      <c r="C12" s="9">
        <v>801.79</v>
      </c>
      <c r="D12" s="9">
        <v>541.80999999999995</v>
      </c>
      <c r="E12" s="9">
        <v>516.98</v>
      </c>
      <c r="F12" s="9">
        <v>1207.93</v>
      </c>
      <c r="G12" s="9">
        <v>2121.66</v>
      </c>
    </row>
    <row r="13" spans="1:7" x14ac:dyDescent="0.2">
      <c r="A13" s="6">
        <v>46073</v>
      </c>
      <c r="B13" s="9">
        <v>6081.79</v>
      </c>
      <c r="C13" s="9">
        <v>815.8</v>
      </c>
      <c r="D13" s="9">
        <v>546.22</v>
      </c>
      <c r="E13" s="9">
        <v>534.46</v>
      </c>
      <c r="F13" s="9">
        <v>1231.21</v>
      </c>
      <c r="G13" s="9">
        <v>2174.6799999999998</v>
      </c>
    </row>
    <row r="14" spans="1:7" x14ac:dyDescent="0.2">
      <c r="A14" s="6">
        <v>46080</v>
      </c>
      <c r="B14" s="9">
        <v>6034.67</v>
      </c>
      <c r="C14" s="9">
        <v>815.12</v>
      </c>
      <c r="D14" s="9">
        <v>533.46</v>
      </c>
      <c r="E14" s="9">
        <v>556.92999999999995</v>
      </c>
      <c r="F14" s="9">
        <v>1258.8900000000001</v>
      </c>
      <c r="G14" s="9">
        <v>2143.2800000000002</v>
      </c>
    </row>
    <row r="15" spans="1:7" x14ac:dyDescent="0.2">
      <c r="A15" s="6">
        <v>46087</v>
      </c>
      <c r="B15" s="9">
        <v>5588.16</v>
      </c>
      <c r="C15" s="9">
        <v>766.9</v>
      </c>
      <c r="D15" s="9">
        <v>534.03</v>
      </c>
      <c r="E15" s="9">
        <v>512.15</v>
      </c>
      <c r="F15" s="9">
        <v>1206.96</v>
      </c>
      <c r="G15" s="9">
        <v>2054.64</v>
      </c>
    </row>
    <row r="16" spans="1:7" x14ac:dyDescent="0.2">
      <c r="A16" s="6">
        <v>46094</v>
      </c>
      <c r="B16" s="9">
        <v>5264.42</v>
      </c>
      <c r="C16" s="9">
        <v>750.71</v>
      </c>
      <c r="D16" s="9">
        <v>527.70000000000005</v>
      </c>
      <c r="E16" s="9">
        <v>510.89</v>
      </c>
      <c r="F16" s="9">
        <v>1151.99</v>
      </c>
      <c r="G16" s="9">
        <v>2034.01</v>
      </c>
    </row>
    <row r="17" spans="1:7" x14ac:dyDescent="0.2">
      <c r="A17" s="6">
        <v>46101</v>
      </c>
      <c r="B17" s="9">
        <v>5174.66</v>
      </c>
      <c r="C17" s="9">
        <v>757.35</v>
      </c>
      <c r="D17" s="9">
        <v>534.29999999999995</v>
      </c>
      <c r="E17" s="9">
        <v>521.26</v>
      </c>
      <c r="F17" s="9">
        <v>1147.33</v>
      </c>
      <c r="G17" s="9">
        <v>2071.69</v>
      </c>
    </row>
    <row r="18" spans="1:7" x14ac:dyDescent="0.2">
      <c r="A18" s="6">
        <v>46108</v>
      </c>
      <c r="B18" s="9">
        <v>5165.68</v>
      </c>
      <c r="C18" s="9">
        <v>750.11</v>
      </c>
      <c r="D18" s="9">
        <v>531.09</v>
      </c>
      <c r="E18" s="9">
        <v>527.04999999999995</v>
      </c>
      <c r="F18" s="9">
        <v>1136</v>
      </c>
      <c r="G18" s="9">
        <v>2056.1</v>
      </c>
    </row>
    <row r="19" spans="1:7" x14ac:dyDescent="0.2">
      <c r="A19" s="6">
        <v>46115</v>
      </c>
      <c r="B19" s="9">
        <v>5084.42</v>
      </c>
      <c r="C19" s="9">
        <v>753.67</v>
      </c>
      <c r="D19" s="9">
        <v>526.86</v>
      </c>
      <c r="E19" s="9">
        <v>528.17999999999995</v>
      </c>
      <c r="F19" s="9">
        <v>1143</v>
      </c>
      <c r="G19" s="9">
        <v>2085.9499999999998</v>
      </c>
    </row>
    <row r="20" spans="1:7" x14ac:dyDescent="0.2">
      <c r="A20" s="6">
        <v>46122</v>
      </c>
      <c r="B20" s="9">
        <v>5390.1</v>
      </c>
      <c r="C20" s="9">
        <v>777.06</v>
      </c>
      <c r="D20" s="9">
        <v>526.41</v>
      </c>
      <c r="E20" s="9">
        <v>551.1</v>
      </c>
      <c r="F20" s="9">
        <v>1167.94</v>
      </c>
      <c r="G20" s="9">
        <v>2106.48</v>
      </c>
    </row>
    <row r="21" spans="1:7" x14ac:dyDescent="0.2">
      <c r="A21" s="6">
        <v>46129</v>
      </c>
      <c r="B21" s="9">
        <v>5422.34</v>
      </c>
      <c r="C21" s="9">
        <v>779.83</v>
      </c>
      <c r="D21" s="9">
        <v>527.32000000000005</v>
      </c>
      <c r="E21" s="9">
        <v>541.04</v>
      </c>
      <c r="F21" s="9">
        <v>1145.92</v>
      </c>
      <c r="G21" s="9">
        <v>2127.1999999999998</v>
      </c>
    </row>
    <row r="22" spans="1:7" x14ac:dyDescent="0.2">
      <c r="A22" s="6">
        <v>46136</v>
      </c>
      <c r="B22" s="9">
        <v>4968.08</v>
      </c>
      <c r="C22" s="9">
        <v>756.53</v>
      </c>
      <c r="D22" s="9">
        <v>536.87</v>
      </c>
      <c r="E22" s="9">
        <v>527.58000000000004</v>
      </c>
      <c r="F22" s="9">
        <v>1131.24</v>
      </c>
      <c r="G22" s="9">
        <v>2077.94</v>
      </c>
    </row>
    <row r="23" spans="1:7" x14ac:dyDescent="0.2">
      <c r="A23" s="6">
        <v>46143</v>
      </c>
      <c r="B23" s="9">
        <v>4782.84</v>
      </c>
      <c r="C23" s="9">
        <v>755.12</v>
      </c>
      <c r="D23" s="9">
        <v>536.29999999999995</v>
      </c>
      <c r="E23" s="9">
        <v>540.74</v>
      </c>
      <c r="F23" s="9">
        <v>1113.8699999999999</v>
      </c>
      <c r="G23" s="9">
        <v>2078.1</v>
      </c>
    </row>
    <row r="24" spans="1:7" x14ac:dyDescent="0.2">
      <c r="A24" s="6">
        <v>46150</v>
      </c>
      <c r="B24" s="9">
        <v>4872.76</v>
      </c>
      <c r="C24" s="9">
        <v>765.39</v>
      </c>
      <c r="D24" s="9">
        <v>545.28</v>
      </c>
      <c r="E24" s="9">
        <v>543.35</v>
      </c>
      <c r="F24" s="9">
        <v>1147.68</v>
      </c>
      <c r="G24" s="9">
        <v>2077.36</v>
      </c>
    </row>
    <row r="25" spans="1:7" x14ac:dyDescent="0.2">
      <c r="A25" s="6">
        <v>46157</v>
      </c>
      <c r="B25" s="9">
        <v>4649.5200000000004</v>
      </c>
      <c r="C25" s="9">
        <v>762.33</v>
      </c>
      <c r="D25" s="9">
        <v>543.61</v>
      </c>
      <c r="E25" s="9">
        <v>552.5</v>
      </c>
      <c r="F25" s="9">
        <v>1155.83</v>
      </c>
      <c r="G25" s="9">
        <v>2115.15</v>
      </c>
    </row>
    <row r="26" spans="1:7" x14ac:dyDescent="0.2">
      <c r="A26" s="6">
        <v>46164</v>
      </c>
      <c r="B26" s="9">
        <v>4295.99</v>
      </c>
      <c r="C26" s="9">
        <v>758.94</v>
      </c>
      <c r="D26" s="9">
        <v>535.54</v>
      </c>
      <c r="E26" s="9">
        <v>557.38</v>
      </c>
      <c r="F26" s="9">
        <v>1151.46</v>
      </c>
      <c r="G26" s="9">
        <v>2147.7600000000002</v>
      </c>
    </row>
    <row r="27" spans="1:7" x14ac:dyDescent="0.2">
      <c r="A27" s="6">
        <v>46171</v>
      </c>
      <c r="B27" s="9">
        <v>4254.32</v>
      </c>
      <c r="C27" s="9">
        <v>757.42</v>
      </c>
      <c r="D27" s="9">
        <v>525.88</v>
      </c>
      <c r="E27" s="9">
        <v>567.17999999999995</v>
      </c>
      <c r="F27" s="9">
        <v>1100.32</v>
      </c>
      <c r="G27" s="9">
        <v>2147.36</v>
      </c>
    </row>
    <row r="28" spans="1:7" x14ac:dyDescent="0.2">
      <c r="A28" s="6">
        <v>46178</v>
      </c>
      <c r="B28" s="9">
        <v>3851.5</v>
      </c>
      <c r="C28" s="9">
        <v>748.55</v>
      </c>
      <c r="D28" s="9">
        <v>529.76</v>
      </c>
      <c r="E28" s="9">
        <v>570.98</v>
      </c>
      <c r="F28" s="9">
        <v>1155.23</v>
      </c>
      <c r="G28" s="9">
        <v>2151.0500000000002</v>
      </c>
    </row>
    <row r="29" spans="1:7" x14ac:dyDescent="0.2">
      <c r="A29" s="6">
        <v>46185</v>
      </c>
      <c r="B29" s="9">
        <v>4177.54</v>
      </c>
      <c r="C29" s="9">
        <v>752.24</v>
      </c>
      <c r="D29" s="9">
        <v>527.37</v>
      </c>
      <c r="E29" s="9">
        <v>577.1</v>
      </c>
      <c r="F29" s="9">
        <v>1161.1099999999999</v>
      </c>
      <c r="G29" s="9">
        <v>2130.9</v>
      </c>
    </row>
    <row r="30" spans="1:7" x14ac:dyDescent="0.2">
      <c r="A30" s="6">
        <v>46192</v>
      </c>
      <c r="B30" s="9">
        <v>4280.18</v>
      </c>
      <c r="C30" s="9">
        <v>766.84</v>
      </c>
      <c r="D30" s="9">
        <v>534.32000000000005</v>
      </c>
      <c r="E30" s="9">
        <v>565.65</v>
      </c>
      <c r="F30" s="9">
        <v>1216.8900000000001</v>
      </c>
      <c r="G30" s="9">
        <v>2227.69</v>
      </c>
    </row>
    <row r="31" spans="1:7" x14ac:dyDescent="0.2">
      <c r="A31" s="6">
        <v>46199</v>
      </c>
      <c r="B31" s="9">
        <v>4091.67</v>
      </c>
      <c r="C31" s="9">
        <v>754.26</v>
      </c>
      <c r="D31" s="9">
        <v>518.46</v>
      </c>
      <c r="E31" s="9">
        <v>549.89</v>
      </c>
      <c r="F31" s="9">
        <v>1191.28</v>
      </c>
      <c r="G31" s="9">
        <v>2230.5100000000002</v>
      </c>
    </row>
    <row r="32" spans="1:7" x14ac:dyDescent="0.2">
      <c r="A32" s="6">
        <v>46206</v>
      </c>
      <c r="B32" s="9">
        <v>4043.5</v>
      </c>
      <c r="C32" s="9">
        <v>773.67</v>
      </c>
      <c r="D32" s="9">
        <v>522.73</v>
      </c>
      <c r="E32" s="9">
        <v>576.23</v>
      </c>
      <c r="F32" s="9">
        <v>1223.1400000000001</v>
      </c>
      <c r="G32" s="9">
        <v>2286.19</v>
      </c>
    </row>
    <row r="33" spans="1:7" x14ac:dyDescent="0.2">
      <c r="A33" s="6">
        <v>46213</v>
      </c>
      <c r="B33" s="9">
        <v>4116.3</v>
      </c>
      <c r="C33" s="9">
        <v>796.92</v>
      </c>
      <c r="D33" s="9">
        <v>526.39</v>
      </c>
      <c r="E33" s="9">
        <v>575.24</v>
      </c>
      <c r="F33" s="9">
        <v>1263.56</v>
      </c>
      <c r="G33" s="9">
        <v>2404.7800000000002</v>
      </c>
    </row>
    <row r="34" spans="1:7" x14ac:dyDescent="0.2">
      <c r="A34" s="6">
        <v>46220</v>
      </c>
      <c r="B34" s="9">
        <v>4366.9399999999996</v>
      </c>
      <c r="C34" s="9">
        <v>803.53</v>
      </c>
      <c r="D34" s="9">
        <v>541.17999999999995</v>
      </c>
      <c r="E34" s="9">
        <v>578.70000000000005</v>
      </c>
      <c r="F34" s="9">
        <v>1294.08</v>
      </c>
      <c r="G34" s="9">
        <v>2398.0700000000002</v>
      </c>
    </row>
    <row r="35" spans="1:7" x14ac:dyDescent="0.2">
      <c r="A35" s="6">
        <v>46227</v>
      </c>
      <c r="B35" s="9">
        <v>4265.43</v>
      </c>
      <c r="C35" s="9">
        <v>802.83</v>
      </c>
      <c r="D35" s="9">
        <v>531.86</v>
      </c>
      <c r="E35" s="9">
        <v>580.41999999999996</v>
      </c>
      <c r="F35" s="9">
        <v>1262.73</v>
      </c>
      <c r="G35" s="9">
        <v>2419.34</v>
      </c>
    </row>
    <row r="36" spans="1:7" x14ac:dyDescent="0.2">
      <c r="A36" s="6">
        <v>46234</v>
      </c>
      <c r="B36" s="9">
        <v>4308.63</v>
      </c>
      <c r="C36" s="9">
        <v>811.61</v>
      </c>
      <c r="D36" s="9">
        <v>539.14</v>
      </c>
      <c r="E36" s="9">
        <v>572.59</v>
      </c>
      <c r="F36" s="9">
        <v>1252.73</v>
      </c>
      <c r="G36" s="9">
        <v>2445.6</v>
      </c>
    </row>
    <row r="37" spans="1:7" x14ac:dyDescent="0.2">
      <c r="A37" s="6">
        <v>46241</v>
      </c>
      <c r="B37" s="9">
        <v>4382.45</v>
      </c>
      <c r="C37" s="9">
        <v>826.02</v>
      </c>
      <c r="D37" s="9">
        <v>543.33000000000004</v>
      </c>
      <c r="E37" s="9">
        <v>566.41</v>
      </c>
      <c r="F37" s="9">
        <v>1265.69</v>
      </c>
      <c r="G37" s="9">
        <v>2499.1</v>
      </c>
    </row>
    <row r="38" spans="1:7" x14ac:dyDescent="0.2">
      <c r="A38" s="6">
        <v>46248</v>
      </c>
      <c r="B38" s="9">
        <v>4319.71</v>
      </c>
      <c r="C38" s="9">
        <v>830.71</v>
      </c>
      <c r="D38" s="9">
        <v>539.83000000000004</v>
      </c>
      <c r="E38" s="9">
        <v>565.83000000000004</v>
      </c>
      <c r="F38" s="9">
        <v>1265.1300000000001</v>
      </c>
      <c r="G38" s="9">
        <v>2536.62</v>
      </c>
    </row>
    <row r="39" spans="1:7" x14ac:dyDescent="0.2">
      <c r="A39" s="6">
        <v>46255</v>
      </c>
      <c r="B39" s="9">
        <v>4398.8999999999996</v>
      </c>
      <c r="C39" s="9">
        <v>832.03</v>
      </c>
      <c r="D39" s="9">
        <v>541.96</v>
      </c>
      <c r="E39" s="9">
        <v>563.57000000000005</v>
      </c>
      <c r="F39" s="9">
        <v>1246.81</v>
      </c>
      <c r="G39" s="9">
        <v>2503.0700000000002</v>
      </c>
    </row>
    <row r="40" spans="1:7" x14ac:dyDescent="0.2">
      <c r="A40" s="6">
        <v>46262</v>
      </c>
      <c r="B40" s="9">
        <v>4404.5600000000004</v>
      </c>
      <c r="C40" s="9">
        <v>827.88</v>
      </c>
      <c r="D40" s="9">
        <v>540.13</v>
      </c>
      <c r="E40" s="9">
        <v>551.11</v>
      </c>
      <c r="F40" s="9">
        <v>1177.8499999999999</v>
      </c>
      <c r="G40" s="9">
        <v>2521.9499999999998</v>
      </c>
    </row>
    <row r="41" spans="1:7" x14ac:dyDescent="0.2">
      <c r="A41" s="6">
        <v>46269</v>
      </c>
      <c r="B41" s="9">
        <v>4359.07</v>
      </c>
      <c r="C41" s="9">
        <v>835.54</v>
      </c>
      <c r="D41" s="9">
        <v>536.77</v>
      </c>
      <c r="E41" s="9">
        <v>557.1</v>
      </c>
      <c r="F41" s="9">
        <v>1222.74</v>
      </c>
      <c r="G41" s="9">
        <v>2547.6999999999998</v>
      </c>
    </row>
    <row r="42" spans="1:7" x14ac:dyDescent="0.2">
      <c r="A42" s="6">
        <v>46276</v>
      </c>
      <c r="B42" s="9">
        <v>4221.9399999999996</v>
      </c>
      <c r="C42" s="9">
        <v>820.54</v>
      </c>
      <c r="D42" s="9">
        <v>529.63</v>
      </c>
      <c r="E42" s="9">
        <v>561.25</v>
      </c>
      <c r="F42" s="9">
        <v>1230.8800000000001</v>
      </c>
      <c r="G42" s="9">
        <v>2486.0100000000002</v>
      </c>
    </row>
    <row r="43" spans="1:7" x14ac:dyDescent="0.2">
      <c r="A43" s="6">
        <v>46283</v>
      </c>
      <c r="B43" s="9">
        <v>4188.6099999999997</v>
      </c>
      <c r="C43" s="9">
        <v>803.03</v>
      </c>
      <c r="D43" s="9">
        <v>523.55999999999995</v>
      </c>
      <c r="E43" s="9">
        <v>549.92999999999995</v>
      </c>
      <c r="F43" s="9">
        <v>1169</v>
      </c>
      <c r="G43" s="9">
        <v>2459.41</v>
      </c>
    </row>
    <row r="44" spans="1:7" x14ac:dyDescent="0.2">
      <c r="A44" s="6">
        <v>46290</v>
      </c>
      <c r="B44" s="9">
        <v>4040.91</v>
      </c>
      <c r="C44" s="9">
        <v>808.68</v>
      </c>
      <c r="D44" s="9">
        <v>526.45000000000005</v>
      </c>
      <c r="E44" s="9">
        <v>559.33000000000004</v>
      </c>
      <c r="F44" s="9">
        <v>1168.5</v>
      </c>
      <c r="G44" s="9">
        <v>2486.89</v>
      </c>
    </row>
    <row r="45" spans="1:7" x14ac:dyDescent="0.2">
      <c r="A45" s="6">
        <v>46297</v>
      </c>
      <c r="B45" s="9">
        <v>3927.77</v>
      </c>
      <c r="C45" s="9">
        <v>791.18</v>
      </c>
      <c r="D45" s="9">
        <v>512.95000000000005</v>
      </c>
      <c r="E45" s="9">
        <v>544.29999999999995</v>
      </c>
      <c r="F45" s="9">
        <v>1121.4100000000001</v>
      </c>
      <c r="G45" s="9">
        <v>2452.09</v>
      </c>
    </row>
    <row r="46" spans="1:7" x14ac:dyDescent="0.2">
      <c r="A46" s="6">
        <v>46304</v>
      </c>
      <c r="B46" s="9">
        <v>3947.8</v>
      </c>
      <c r="C46" s="9">
        <v>769.28</v>
      </c>
      <c r="D46" s="9">
        <v>504.46</v>
      </c>
      <c r="E46" s="9">
        <v>543.64</v>
      </c>
      <c r="F46" s="9">
        <v>1135.3800000000001</v>
      </c>
      <c r="G46" s="9">
        <v>2346.86</v>
      </c>
    </row>
    <row r="48" spans="1:7" x14ac:dyDescent="0.2">
      <c r="A48" s="3" t="s">
        <v>297</v>
      </c>
      <c r="B48" s="15">
        <f t="shared" ref="B48:G48" si="0">B46/B5-1</f>
        <v>-0.37879813063523782</v>
      </c>
      <c r="C48" s="15">
        <f t="shared" si="0"/>
        <v>5.5290503888634213E-3</v>
      </c>
      <c r="D48" s="15">
        <f t="shared" si="0"/>
        <v>-3.3305227655986647E-2</v>
      </c>
      <c r="E48" s="15">
        <f t="shared" si="0"/>
        <v>0.22427654543407272</v>
      </c>
      <c r="F48" s="15">
        <f t="shared" si="0"/>
        <v>-1.1096401073058426E-2</v>
      </c>
      <c r="G48" s="15">
        <f t="shared" si="0"/>
        <v>0.12613243761996173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Ex1_Freight</vt:lpstr>
      <vt:lpstr>Ex2_Gold_RealYield</vt:lpstr>
      <vt:lpstr>Ex3_AI_Chain</vt:lpstr>
      <vt:lpstr>Ex4_TSMC_SOX</vt:lpstr>
      <vt:lpstr>Ex5_Consumer</vt:lpstr>
      <vt:lpstr>Ex6_MXID_Valuation</vt:lpstr>
      <vt:lpstr>Data_SBN_UST_IDR</vt:lpstr>
      <vt:lpstr>Data_Brent_WTI</vt:lpstr>
      <vt:lpstr>Ex4b_SOX_PE_10y</vt:lpstr>
      <vt:lpstr>Data_Asia_Chips</vt:lpstr>
      <vt:lpstr>Data_JCI_LQ45</vt:lpstr>
      <vt:lpstr>Ex6b_Risk_Premia</vt:lpstr>
      <vt:lpstr>Data_ASEAN_Peers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2026-10-12T06:35:33Z</dcterms:created>
  <dcterms:modified xsi:type="dcterms:W3CDTF">2026-10-12T06:35:41Z</dcterms:modified>
</cp:coreProperties>
</file>