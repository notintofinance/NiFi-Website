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gatbe/Claude Project/Claude Vibecode (NiFi)/outputs/cmc-zoom-comparison/"/>
    </mc:Choice>
  </mc:AlternateContent>
  <xr:revisionPtr revIDLastSave="0" documentId="13_ncr:1_{2EF512B9-B900-E440-8EFD-CD61CC0270A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Budget Founder L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8" i="1"/>
  <c r="D19" i="1" s="1"/>
  <c r="C18" i="1"/>
  <c r="C17" i="1"/>
  <c r="C19" i="1" s="1"/>
  <c r="E11" i="1"/>
  <c r="D11" i="1"/>
  <c r="D12" i="1" s="1"/>
  <c r="C11" i="1"/>
  <c r="E8" i="1"/>
  <c r="E25" i="1" s="1"/>
  <c r="D8" i="1"/>
  <c r="D25" i="1" s="1"/>
  <c r="C8" i="1"/>
  <c r="C25" i="1" s="1"/>
  <c r="E27" i="1" l="1"/>
  <c r="E26" i="1"/>
  <c r="E28" i="1" s="1"/>
  <c r="D21" i="1"/>
  <c r="D22" i="1" s="1"/>
  <c r="C20" i="1"/>
  <c r="C27" i="1"/>
  <c r="C26" i="1"/>
  <c r="C28" i="1" s="1"/>
  <c r="D27" i="1"/>
  <c r="D26" i="1"/>
  <c r="D28" i="1" s="1"/>
  <c r="C12" i="1"/>
  <c r="E12" i="1"/>
</calcChain>
</file>

<file path=xl/sharedStrings.xml><?xml version="1.0" encoding="utf-8"?>
<sst xmlns="http://schemas.openxmlformats.org/spreadsheetml/2006/main" count="32" uniqueCount="28">
  <si>
    <t>Komponen</t>
  </si>
  <si>
    <t>Pesimis</t>
  </si>
  <si>
    <t>Base</t>
  </si>
  <si>
    <t>Optimis</t>
  </si>
  <si>
    <t>Jumlah sesi</t>
  </si>
  <si>
    <t>Honor speaker per sesi</t>
  </si>
  <si>
    <t>Total honor speaker</t>
  </si>
  <si>
    <t>Jumlah bulan Zoom</t>
  </si>
  <si>
    <t>Total biaya Zoom</t>
  </si>
  <si>
    <t>TOTAL BUDGET SEBELUM PAJAK</t>
  </si>
  <si>
    <t>Zoom Pro + Large Meeting 1.000 / bulan</t>
  </si>
  <si>
    <t>PERBANDINGAN ZOOM KAPASITAS 1.000</t>
  </si>
  <si>
    <t>Subscribe Zoom</t>
  </si>
  <si>
    <t>Sewa Zoom</t>
  </si>
  <si>
    <t>Harga per bulan / per sesi</t>
  </si>
  <si>
    <t>Jumlah bulan / jumlah sesi</t>
  </si>
  <si>
    <t>TOTAL BIAYA ZOOM</t>
  </si>
  <si>
    <t>Biaya Zoom per sesi</t>
  </si>
  <si>
    <t>Penghematan dengan sewa</t>
  </si>
  <si>
    <t>Penghematan (%)</t>
  </si>
  <si>
    <t>TOTAL PROGRAM SEBELUM PAJAK</t>
  </si>
  <si>
    <t>Honor speaker</t>
  </si>
  <si>
    <t>Dengan Subscribe Zoom</t>
  </si>
  <si>
    <t>Dengan Sewa Zoom</t>
  </si>
  <si>
    <t>Lebih hemat dengan sewa</t>
  </si>
  <si>
    <t>Subscribe: Pro Rp271.840 + Large Meeting 1.000 Rp2.383.999 = Rp2.655.839/bulan.</t>
  </si>
  <si>
    <t>Sumber: https://support.zoom.com/hc/en/article?id=zm_kb&amp;sysparm_article=KB0062404</t>
  </si>
  <si>
    <t>Budget Founder Live: Subs vs Sewa 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</si>
</sst>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Rp&quot;#,##0;\(&quot;Rp&quot;#,##0\);&quot;-&quot;"/>
    <numFmt numFmtId="166" formatCode="0.0%"/>
  </numFmts>
  <fonts count="8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rgb="FF202A35"/>
      <name val="Calibri"/>
      <family val="2"/>
    </font>
    <font>
      <b/>
      <sz val="16"/>
      <color rgb="FF002060"/>
      <name val="Calibri"/>
      <family val="2"/>
    </font>
    <font>
      <sz val="10"/>
      <color rgb="FF666666"/>
      <name val="Calibri"/>
      <family val="2"/>
    </font>
    <font>
      <sz val="11"/>
      <color rgb="FF2455A4"/>
      <name val="Calibri"/>
      <family val="2"/>
    </font>
    <font>
      <b/>
      <sz val="11"/>
      <color rgb="FF002060"/>
      <name val="Calibri"/>
      <family val="2"/>
    </font>
    <font>
      <b/>
      <sz val="12"/>
      <color rgb="FF00206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E6EEF5"/>
      </patternFill>
    </fill>
    <fill>
      <patternFill patternType="solid">
        <fgColor rgb="FF002060"/>
      </patternFill>
    </fill>
    <fill>
      <patternFill patternType="solid">
        <fgColor rgb="FFE6EE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165" fontId="6" fillId="3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vertical="center"/>
    </xf>
    <xf numFmtId="1" fontId="2" fillId="0" borderId="0" xfId="0" applyNumberFormat="1" applyFont="1" applyAlignment="1">
      <alignment horizontal="right" vertical="center"/>
    </xf>
    <xf numFmtId="165" fontId="6" fillId="5" borderId="0" xfId="0" applyNumberFormat="1" applyFont="1" applyFill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6"/>
  <sheetViews>
    <sheetView showGridLines="0" tabSelected="1" workbookViewId="0">
      <selection activeCell="B15" sqref="B15"/>
    </sheetView>
  </sheetViews>
  <sheetFormatPr baseColWidth="10" defaultColWidth="8.83203125" defaultRowHeight="15" x14ac:dyDescent="0.2"/>
  <cols>
    <col min="1" max="1" width="2" customWidth="1"/>
    <col min="2" max="2" width="48" customWidth="1"/>
    <col min="3" max="5" width="23" customWidth="1"/>
  </cols>
  <sheetData>
    <row r="2" spans="2:5" ht="25" customHeight="1" x14ac:dyDescent="0.2">
      <c r="B2" s="20" t="s">
        <v>27</v>
      </c>
      <c r="C2" s="21"/>
      <c r="D2" s="21"/>
      <c r="E2" s="21"/>
    </row>
    <row r="3" spans="2:5" ht="25" customHeight="1" x14ac:dyDescent="0.2">
      <c r="B3" s="3"/>
      <c r="C3" s="2"/>
      <c r="D3" s="2"/>
      <c r="E3" s="2"/>
    </row>
    <row r="4" spans="2:5" ht="25" customHeight="1" x14ac:dyDescent="0.2">
      <c r="B4" s="2"/>
      <c r="C4" s="2"/>
      <c r="D4" s="2"/>
      <c r="E4" s="2"/>
    </row>
    <row r="5" spans="2:5" ht="29" customHeight="1" x14ac:dyDescent="0.2">
      <c r="B5" s="4" t="s">
        <v>0</v>
      </c>
      <c r="C5" s="4" t="s">
        <v>1</v>
      </c>
      <c r="D5" s="4" t="s">
        <v>2</v>
      </c>
      <c r="E5" s="4" t="s">
        <v>3</v>
      </c>
    </row>
    <row r="6" spans="2:5" ht="25" customHeight="1" x14ac:dyDescent="0.2">
      <c r="B6" s="1" t="s">
        <v>4</v>
      </c>
      <c r="C6" s="7">
        <v>8</v>
      </c>
      <c r="D6" s="7">
        <v>8</v>
      </c>
      <c r="E6" s="7">
        <v>8</v>
      </c>
    </row>
    <row r="7" spans="2:5" ht="25" customHeight="1" x14ac:dyDescent="0.2">
      <c r="B7" s="1" t="s">
        <v>5</v>
      </c>
      <c r="C7" s="5">
        <v>5000000</v>
      </c>
      <c r="D7" s="5">
        <v>4000000</v>
      </c>
      <c r="E7" s="5">
        <v>3000000</v>
      </c>
    </row>
    <row r="8" spans="2:5" ht="25" customHeight="1" x14ac:dyDescent="0.2">
      <c r="B8" s="1" t="s">
        <v>6</v>
      </c>
      <c r="C8" s="6">
        <f>C6*C7</f>
        <v>40000000</v>
      </c>
      <c r="D8" s="6">
        <f>D6*D7</f>
        <v>32000000</v>
      </c>
      <c r="E8" s="6">
        <f>E6*E7</f>
        <v>24000000</v>
      </c>
    </row>
    <row r="9" spans="2:5" ht="25" customHeight="1" x14ac:dyDescent="0.2">
      <c r="B9" s="1" t="s">
        <v>7</v>
      </c>
      <c r="C9" s="7">
        <v>2</v>
      </c>
      <c r="D9" s="7">
        <v>2</v>
      </c>
      <c r="E9" s="7">
        <v>2</v>
      </c>
    </row>
    <row r="10" spans="2:5" ht="25" customHeight="1" x14ac:dyDescent="0.2">
      <c r="B10" s="1" t="s">
        <v>10</v>
      </c>
      <c r="C10" s="5">
        <v>2655839</v>
      </c>
      <c r="D10" s="5">
        <v>2655839</v>
      </c>
      <c r="E10" s="5">
        <v>2655839</v>
      </c>
    </row>
    <row r="11" spans="2:5" ht="25" customHeight="1" x14ac:dyDescent="0.2">
      <c r="B11" s="1" t="s">
        <v>8</v>
      </c>
      <c r="C11" s="6">
        <f>C9*C10</f>
        <v>5311678</v>
      </c>
      <c r="D11" s="6">
        <f>D9*D10</f>
        <v>5311678</v>
      </c>
      <c r="E11" s="6">
        <f>E9*E10</f>
        <v>5311678</v>
      </c>
    </row>
    <row r="12" spans="2:5" ht="29" customHeight="1" x14ac:dyDescent="0.2">
      <c r="B12" s="11" t="s">
        <v>9</v>
      </c>
      <c r="C12" s="12">
        <f>C8+C11</f>
        <v>45311678</v>
      </c>
      <c r="D12" s="12">
        <f>D8+D11</f>
        <v>37311678</v>
      </c>
      <c r="E12" s="12">
        <f>E8+E11</f>
        <v>29311678</v>
      </c>
    </row>
    <row r="13" spans="2:5" ht="25" customHeight="1" x14ac:dyDescent="0.2">
      <c r="B13" s="2"/>
      <c r="C13" s="8"/>
      <c r="D13" s="8"/>
      <c r="E13" s="8"/>
    </row>
    <row r="14" spans="2:5" ht="26" customHeight="1" x14ac:dyDescent="0.2">
      <c r="B14" s="13" t="s">
        <v>11</v>
      </c>
      <c r="C14" s="2"/>
      <c r="D14" s="2"/>
      <c r="E14" s="2"/>
    </row>
    <row r="15" spans="2:5" ht="26" customHeight="1" x14ac:dyDescent="0.2">
      <c r="B15" s="2"/>
      <c r="C15" s="2"/>
      <c r="D15" s="2"/>
      <c r="E15" s="2"/>
    </row>
    <row r="16" spans="2:5" ht="30" customHeight="1" x14ac:dyDescent="0.2">
      <c r="B16" s="14" t="s">
        <v>0</v>
      </c>
      <c r="C16" s="14" t="s">
        <v>12</v>
      </c>
      <c r="D16" s="14" t="s">
        <v>13</v>
      </c>
      <c r="E16" s="2"/>
    </row>
    <row r="17" spans="2:5" ht="26" customHeight="1" x14ac:dyDescent="0.2">
      <c r="B17" s="2" t="s">
        <v>14</v>
      </c>
      <c r="C17" s="10">
        <f>D10</f>
        <v>2655839</v>
      </c>
      <c r="D17" s="9">
        <v>350000</v>
      </c>
      <c r="E17" s="8"/>
    </row>
    <row r="18" spans="2:5" ht="26" customHeight="1" x14ac:dyDescent="0.2">
      <c r="B18" s="2" t="s">
        <v>15</v>
      </c>
      <c r="C18" s="16">
        <f>D9</f>
        <v>2</v>
      </c>
      <c r="D18" s="16">
        <f>D6</f>
        <v>8</v>
      </c>
      <c r="E18" s="8"/>
    </row>
    <row r="19" spans="2:5" ht="26" customHeight="1" x14ac:dyDescent="0.2">
      <c r="B19" s="15" t="s">
        <v>16</v>
      </c>
      <c r="C19" s="17">
        <f>C17*C18</f>
        <v>5311678</v>
      </c>
      <c r="D19" s="17">
        <f>D17*D18</f>
        <v>2800000</v>
      </c>
      <c r="E19" s="8"/>
    </row>
    <row r="20" spans="2:5" ht="26" customHeight="1" x14ac:dyDescent="0.2">
      <c r="B20" s="2" t="s">
        <v>17</v>
      </c>
      <c r="C20" s="10">
        <f>C19/D6</f>
        <v>663959.75</v>
      </c>
      <c r="D20" s="10">
        <f>D17</f>
        <v>350000</v>
      </c>
      <c r="E20" s="8"/>
    </row>
    <row r="21" spans="2:5" ht="26" customHeight="1" x14ac:dyDescent="0.2">
      <c r="B21" s="2" t="s">
        <v>18</v>
      </c>
      <c r="C21" s="10"/>
      <c r="D21" s="10">
        <f>C19-D19</f>
        <v>2511678</v>
      </c>
      <c r="E21" s="8"/>
    </row>
    <row r="22" spans="2:5" ht="26" customHeight="1" x14ac:dyDescent="0.2">
      <c r="B22" s="2" t="s">
        <v>19</v>
      </c>
      <c r="C22" s="8"/>
      <c r="D22" s="18">
        <f>D21/C19</f>
        <v>0.4728596123484895</v>
      </c>
      <c r="E22" s="8"/>
    </row>
    <row r="23" spans="2:5" ht="26" customHeight="1" x14ac:dyDescent="0.2">
      <c r="B23" s="2"/>
      <c r="C23" s="8"/>
      <c r="D23" s="8"/>
      <c r="E23" s="8"/>
    </row>
    <row r="24" spans="2:5" ht="30" customHeight="1" x14ac:dyDescent="0.2">
      <c r="B24" s="14" t="s">
        <v>20</v>
      </c>
      <c r="C24" s="19" t="s">
        <v>1</v>
      </c>
      <c r="D24" s="19" t="s">
        <v>2</v>
      </c>
      <c r="E24" s="19" t="s">
        <v>3</v>
      </c>
    </row>
    <row r="25" spans="2:5" ht="26" customHeight="1" x14ac:dyDescent="0.2">
      <c r="B25" s="2" t="s">
        <v>21</v>
      </c>
      <c r="C25" s="10">
        <f>C8</f>
        <v>40000000</v>
      </c>
      <c r="D25" s="10">
        <f>D8</f>
        <v>32000000</v>
      </c>
      <c r="E25" s="10">
        <f>E8</f>
        <v>24000000</v>
      </c>
    </row>
    <row r="26" spans="2:5" ht="26" customHeight="1" x14ac:dyDescent="0.2">
      <c r="B26" s="2" t="s">
        <v>22</v>
      </c>
      <c r="C26" s="10">
        <f>C25+$C$19</f>
        <v>45311678</v>
      </c>
      <c r="D26" s="10">
        <f>D25+$C$19</f>
        <v>37311678</v>
      </c>
      <c r="E26" s="10">
        <f>E25+$C$19</f>
        <v>29311678</v>
      </c>
    </row>
    <row r="27" spans="2:5" ht="26" customHeight="1" x14ac:dyDescent="0.2">
      <c r="B27" s="15" t="s">
        <v>23</v>
      </c>
      <c r="C27" s="17">
        <f>C25+$D$19</f>
        <v>42800000</v>
      </c>
      <c r="D27" s="17">
        <f>D25+$D$19</f>
        <v>34800000</v>
      </c>
      <c r="E27" s="17">
        <f>E25+$D$19</f>
        <v>26800000</v>
      </c>
    </row>
    <row r="28" spans="2:5" ht="26" customHeight="1" x14ac:dyDescent="0.2">
      <c r="B28" s="15" t="s">
        <v>24</v>
      </c>
      <c r="C28" s="17">
        <f>C26-C27</f>
        <v>2511678</v>
      </c>
      <c r="D28" s="17">
        <f>D26-D27</f>
        <v>2511678</v>
      </c>
      <c r="E28" s="17">
        <f>E26-E27</f>
        <v>2511678</v>
      </c>
    </row>
    <row r="29" spans="2:5" ht="26" customHeight="1" x14ac:dyDescent="0.2">
      <c r="B29" s="2"/>
      <c r="C29" s="2"/>
      <c r="D29" s="2"/>
      <c r="E29" s="2"/>
    </row>
    <row r="30" spans="2:5" ht="30" customHeight="1" x14ac:dyDescent="0.2">
      <c r="B30" s="22" t="s">
        <v>25</v>
      </c>
      <c r="C30" s="22"/>
      <c r="D30" s="22"/>
      <c r="E30" s="22"/>
    </row>
    <row r="31" spans="2:5" ht="30" customHeight="1" x14ac:dyDescent="0.2">
      <c r="B31" s="23" t="s">
        <v>26</v>
      </c>
      <c r="C31" s="23"/>
      <c r="D31" s="23"/>
      <c r="E31" s="23"/>
    </row>
    <row r="32" spans="2:5" ht="30" customHeight="1" x14ac:dyDescent="0.2">
      <c r="B32" s="22"/>
      <c r="C32" s="22"/>
      <c r="D32" s="22"/>
      <c r="E32" s="22"/>
    </row>
    <row r="33" spans="2:5" ht="30" customHeight="1" x14ac:dyDescent="0.2">
      <c r="B33" s="22"/>
      <c r="C33" s="22"/>
      <c r="D33" s="22"/>
      <c r="E33" s="22"/>
    </row>
    <row r="34" spans="2:5" ht="30" customHeight="1" x14ac:dyDescent="0.2">
      <c r="B34" s="23"/>
      <c r="C34" s="23"/>
      <c r="D34" s="23"/>
      <c r="E34" s="23"/>
    </row>
    <row r="35" spans="2:5" ht="30" customHeight="1" x14ac:dyDescent="0.2"/>
    <row r="36" spans="2:5" ht="30" customHeight="1" x14ac:dyDescent="0.2">
      <c r="B36" s="23"/>
      <c r="C36" s="23"/>
      <c r="D36" s="23"/>
      <c r="E36" s="23"/>
    </row>
  </sheetData>
  <mergeCells count="7">
    <mergeCell ref="B34:E34"/>
    <mergeCell ref="B31:E31"/>
    <mergeCell ref="B36:E36"/>
    <mergeCell ref="B2:E2"/>
    <mergeCell ref="B30:E30"/>
    <mergeCell ref="B32:E32"/>
    <mergeCell ref="B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Founder 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2026-10-05T04:06:34Z</dcterms:modified>
</cp:coreProperties>
</file>