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gatbe/Library/Containers/com.microsoft.Excel/Data/Documents/wmo_qa/"/>
    </mc:Choice>
  </mc:AlternateContent>
  <xr:revisionPtr revIDLastSave="0" documentId="13_ncr:1_{2E461398-B3DB-854E-B7B6-DFA3CEE17EB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EADME" sheetId="1" r:id="rId1"/>
    <sheet name="Ex1_CME_Path" sheetId="2" r:id="rId2"/>
    <sheet name="Ex2_UST_ACM" sheetId="3" r:id="rId3"/>
    <sheet name="Ex3_SOX_Hyperscalers" sheetId="4" r:id="rId4"/>
    <sheet name="Ex4_Hyperscaler_Bonds" sheetId="5" r:id="rId5"/>
    <sheet name="Ex5_FXR_USDIDR" sheetId="6" r:id="rId6"/>
    <sheet name="Ex6_Trade_Balance" sheetId="7" r:id="rId7"/>
    <sheet name="P2_Text_Data" sheetId="8" r:id="rId8"/>
    <sheet name="P3_SBN_CPI" sheetId="9" r:id="rId9"/>
    <sheet name="Text_Number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0" l="1"/>
  <c r="D22" i="10"/>
  <c r="C179" i="9"/>
  <c r="D179" i="9" s="1"/>
  <c r="G7" i="9" s="1"/>
  <c r="D43" i="10" s="1"/>
  <c r="C178" i="9"/>
  <c r="D178" i="9" s="1"/>
  <c r="C177" i="9"/>
  <c r="D177" i="9" s="1"/>
  <c r="C176" i="9"/>
  <c r="D176" i="9" s="1"/>
  <c r="C175" i="9"/>
  <c r="D175" i="9" s="1"/>
  <c r="C174" i="9"/>
  <c r="D174" i="9" s="1"/>
  <c r="C173" i="9"/>
  <c r="D173" i="9" s="1"/>
  <c r="C172" i="9"/>
  <c r="D172" i="9" s="1"/>
  <c r="C171" i="9"/>
  <c r="D171" i="9" s="1"/>
  <c r="C170" i="9"/>
  <c r="D170" i="9" s="1"/>
  <c r="C169" i="9"/>
  <c r="D169" i="9" s="1"/>
  <c r="C168" i="9"/>
  <c r="D168" i="9" s="1"/>
  <c r="C167" i="9"/>
  <c r="D167" i="9" s="1"/>
  <c r="C166" i="9"/>
  <c r="D166" i="9" s="1"/>
  <c r="C165" i="9"/>
  <c r="D165" i="9" s="1"/>
  <c r="C164" i="9"/>
  <c r="D164" i="9" s="1"/>
  <c r="C163" i="9"/>
  <c r="D163" i="9" s="1"/>
  <c r="C162" i="9"/>
  <c r="D162" i="9" s="1"/>
  <c r="C161" i="9"/>
  <c r="D161" i="9" s="1"/>
  <c r="C160" i="9"/>
  <c r="D160" i="9" s="1"/>
  <c r="C159" i="9"/>
  <c r="D159" i="9" s="1"/>
  <c r="C158" i="9"/>
  <c r="D158" i="9" s="1"/>
  <c r="C157" i="9"/>
  <c r="D157" i="9" s="1"/>
  <c r="C156" i="9"/>
  <c r="D156" i="9" s="1"/>
  <c r="C155" i="9"/>
  <c r="D155" i="9" s="1"/>
  <c r="C154" i="9"/>
  <c r="D154" i="9" s="1"/>
  <c r="C153" i="9"/>
  <c r="D153" i="9" s="1"/>
  <c r="C152" i="9"/>
  <c r="D152" i="9" s="1"/>
  <c r="C151" i="9"/>
  <c r="D151" i="9" s="1"/>
  <c r="C150" i="9"/>
  <c r="D150" i="9" s="1"/>
  <c r="C149" i="9"/>
  <c r="D149" i="9" s="1"/>
  <c r="C148" i="9"/>
  <c r="D148" i="9" s="1"/>
  <c r="C147" i="9"/>
  <c r="D147" i="9" s="1"/>
  <c r="C146" i="9"/>
  <c r="D146" i="9" s="1"/>
  <c r="C145" i="9"/>
  <c r="D145" i="9" s="1"/>
  <c r="C144" i="9"/>
  <c r="D144" i="9" s="1"/>
  <c r="C143" i="9"/>
  <c r="D143" i="9" s="1"/>
  <c r="C142" i="9"/>
  <c r="D142" i="9" s="1"/>
  <c r="C141" i="9"/>
  <c r="D141" i="9" s="1"/>
  <c r="C140" i="9"/>
  <c r="D140" i="9" s="1"/>
  <c r="C139" i="9"/>
  <c r="D139" i="9" s="1"/>
  <c r="C138" i="9"/>
  <c r="D138" i="9" s="1"/>
  <c r="C137" i="9"/>
  <c r="D137" i="9" s="1"/>
  <c r="C136" i="9"/>
  <c r="D136" i="9" s="1"/>
  <c r="C135" i="9"/>
  <c r="D135" i="9" s="1"/>
  <c r="C134" i="9"/>
  <c r="D134" i="9" s="1"/>
  <c r="C133" i="9"/>
  <c r="D133" i="9" s="1"/>
  <c r="C132" i="9"/>
  <c r="D132" i="9" s="1"/>
  <c r="C131" i="9"/>
  <c r="D131" i="9" s="1"/>
  <c r="C130" i="9"/>
  <c r="D130" i="9" s="1"/>
  <c r="C129" i="9"/>
  <c r="D129" i="9" s="1"/>
  <c r="C128" i="9"/>
  <c r="D128" i="9" s="1"/>
  <c r="C127" i="9"/>
  <c r="D127" i="9" s="1"/>
  <c r="C126" i="9"/>
  <c r="D126" i="9" s="1"/>
  <c r="C125" i="9"/>
  <c r="D125" i="9" s="1"/>
  <c r="C124" i="9"/>
  <c r="D124" i="9" s="1"/>
  <c r="C123" i="9"/>
  <c r="D123" i="9" s="1"/>
  <c r="C122" i="9"/>
  <c r="D122" i="9" s="1"/>
  <c r="C121" i="9"/>
  <c r="D121" i="9" s="1"/>
  <c r="C120" i="9"/>
  <c r="D120" i="9" s="1"/>
  <c r="C119" i="9"/>
  <c r="D119" i="9" s="1"/>
  <c r="C118" i="9"/>
  <c r="D118" i="9" s="1"/>
  <c r="C117" i="9"/>
  <c r="D117" i="9" s="1"/>
  <c r="C116" i="9"/>
  <c r="D116" i="9" s="1"/>
  <c r="C115" i="9"/>
  <c r="D115" i="9" s="1"/>
  <c r="C114" i="9"/>
  <c r="D114" i="9" s="1"/>
  <c r="C113" i="9"/>
  <c r="D113" i="9" s="1"/>
  <c r="C112" i="9"/>
  <c r="D112" i="9" s="1"/>
  <c r="C111" i="9"/>
  <c r="D111" i="9" s="1"/>
  <c r="C110" i="9"/>
  <c r="D110" i="9" s="1"/>
  <c r="C109" i="9"/>
  <c r="D109" i="9" s="1"/>
  <c r="C108" i="9"/>
  <c r="D108" i="9" s="1"/>
  <c r="C107" i="9"/>
  <c r="D107" i="9" s="1"/>
  <c r="C106" i="9"/>
  <c r="D106" i="9" s="1"/>
  <c r="C105" i="9"/>
  <c r="D105" i="9" s="1"/>
  <c r="C104" i="9"/>
  <c r="D104" i="9" s="1"/>
  <c r="C103" i="9"/>
  <c r="D103" i="9" s="1"/>
  <c r="C102" i="9"/>
  <c r="D102" i="9" s="1"/>
  <c r="C101" i="9"/>
  <c r="D101" i="9" s="1"/>
  <c r="C100" i="9"/>
  <c r="D100" i="9" s="1"/>
  <c r="C99" i="9"/>
  <c r="D99" i="9" s="1"/>
  <c r="C98" i="9"/>
  <c r="D98" i="9" s="1"/>
  <c r="C97" i="9"/>
  <c r="D97" i="9" s="1"/>
  <c r="C96" i="9"/>
  <c r="D96" i="9" s="1"/>
  <c r="C95" i="9"/>
  <c r="D95" i="9" s="1"/>
  <c r="C94" i="9"/>
  <c r="D94" i="9" s="1"/>
  <c r="C93" i="9"/>
  <c r="D93" i="9" s="1"/>
  <c r="C92" i="9"/>
  <c r="D92" i="9" s="1"/>
  <c r="C91" i="9"/>
  <c r="D91" i="9" s="1"/>
  <c r="C90" i="9"/>
  <c r="D90" i="9" s="1"/>
  <c r="C89" i="9"/>
  <c r="D89" i="9" s="1"/>
  <c r="C88" i="9"/>
  <c r="D88" i="9" s="1"/>
  <c r="C87" i="9"/>
  <c r="D87" i="9" s="1"/>
  <c r="C86" i="9"/>
  <c r="D86" i="9" s="1"/>
  <c r="C85" i="9"/>
  <c r="D85" i="9" s="1"/>
  <c r="C84" i="9"/>
  <c r="D84" i="9" s="1"/>
  <c r="C83" i="9"/>
  <c r="D83" i="9" s="1"/>
  <c r="C82" i="9"/>
  <c r="D82" i="9" s="1"/>
  <c r="C81" i="9"/>
  <c r="D81" i="9" s="1"/>
  <c r="C80" i="9"/>
  <c r="D80" i="9" s="1"/>
  <c r="C79" i="9"/>
  <c r="D79" i="9" s="1"/>
  <c r="C78" i="9"/>
  <c r="D78" i="9" s="1"/>
  <c r="C77" i="9"/>
  <c r="D77" i="9" s="1"/>
  <c r="C76" i="9"/>
  <c r="D76" i="9" s="1"/>
  <c r="C75" i="9"/>
  <c r="D75" i="9" s="1"/>
  <c r="C74" i="9"/>
  <c r="D74" i="9" s="1"/>
  <c r="C73" i="9"/>
  <c r="D73" i="9" s="1"/>
  <c r="C72" i="9"/>
  <c r="D72" i="9" s="1"/>
  <c r="C71" i="9"/>
  <c r="D71" i="9" s="1"/>
  <c r="C70" i="9"/>
  <c r="D70" i="9" s="1"/>
  <c r="C69" i="9"/>
  <c r="D69" i="9" s="1"/>
  <c r="C68" i="9"/>
  <c r="D68" i="9" s="1"/>
  <c r="C67" i="9"/>
  <c r="D67" i="9" s="1"/>
  <c r="C66" i="9"/>
  <c r="D66" i="9" s="1"/>
  <c r="C65" i="9"/>
  <c r="D65" i="9" s="1"/>
  <c r="C64" i="9"/>
  <c r="D64" i="9" s="1"/>
  <c r="C63" i="9"/>
  <c r="D63" i="9" s="1"/>
  <c r="C62" i="9"/>
  <c r="D62" i="9" s="1"/>
  <c r="C61" i="9"/>
  <c r="D61" i="9" s="1"/>
  <c r="C60" i="9"/>
  <c r="D60" i="9" s="1"/>
  <c r="C59" i="9"/>
  <c r="D59" i="9" s="1"/>
  <c r="C58" i="9"/>
  <c r="D58" i="9" s="1"/>
  <c r="C57" i="9"/>
  <c r="D57" i="9" s="1"/>
  <c r="C56" i="9"/>
  <c r="D56" i="9" s="1"/>
  <c r="C55" i="9"/>
  <c r="D55" i="9" s="1"/>
  <c r="C54" i="9"/>
  <c r="D54" i="9" s="1"/>
  <c r="C53" i="9"/>
  <c r="D53" i="9" s="1"/>
  <c r="C52" i="9"/>
  <c r="D52" i="9" s="1"/>
  <c r="C51" i="9"/>
  <c r="D51" i="9" s="1"/>
  <c r="C50" i="9"/>
  <c r="D50" i="9" s="1"/>
  <c r="C49" i="9"/>
  <c r="D49" i="9" s="1"/>
  <c r="C48" i="9"/>
  <c r="D48" i="9" s="1"/>
  <c r="C47" i="9"/>
  <c r="D47" i="9" s="1"/>
  <c r="C46" i="9"/>
  <c r="D46" i="9" s="1"/>
  <c r="C45" i="9"/>
  <c r="D45" i="9" s="1"/>
  <c r="C44" i="9"/>
  <c r="D44" i="9" s="1"/>
  <c r="C43" i="9"/>
  <c r="D43" i="9" s="1"/>
  <c r="C42" i="9"/>
  <c r="D42" i="9" s="1"/>
  <c r="C41" i="9"/>
  <c r="D41" i="9" s="1"/>
  <c r="C40" i="9"/>
  <c r="D40" i="9" s="1"/>
  <c r="C39" i="9"/>
  <c r="D39" i="9" s="1"/>
  <c r="C38" i="9"/>
  <c r="D38" i="9" s="1"/>
  <c r="C37" i="9"/>
  <c r="D37" i="9" s="1"/>
  <c r="C36" i="9"/>
  <c r="D36" i="9" s="1"/>
  <c r="C35" i="9"/>
  <c r="D35" i="9" s="1"/>
  <c r="C34" i="9"/>
  <c r="D34" i="9" s="1"/>
  <c r="C33" i="9"/>
  <c r="D33" i="9" s="1"/>
  <c r="C32" i="9"/>
  <c r="D32" i="9" s="1"/>
  <c r="C31" i="9"/>
  <c r="D31" i="9" s="1"/>
  <c r="C30" i="9"/>
  <c r="D30" i="9" s="1"/>
  <c r="C29" i="9"/>
  <c r="D29" i="9" s="1"/>
  <c r="C28" i="9"/>
  <c r="D28" i="9" s="1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G10" i="9"/>
  <c r="G27" i="9" s="1"/>
  <c r="D46" i="10" s="1"/>
  <c r="C10" i="9"/>
  <c r="D10" i="9" s="1"/>
  <c r="G9" i="9"/>
  <c r="D9" i="9"/>
  <c r="C9" i="9"/>
  <c r="G8" i="9"/>
  <c r="D44" i="10" s="1"/>
  <c r="C8" i="9"/>
  <c r="D8" i="9" s="1"/>
  <c r="C7" i="9"/>
  <c r="D7" i="9" s="1"/>
  <c r="C6" i="9"/>
  <c r="D6" i="9" s="1"/>
  <c r="C5" i="9"/>
  <c r="D5" i="9" s="1"/>
  <c r="G5" i="9" s="1"/>
  <c r="E33" i="8"/>
  <c r="E34" i="8" s="1"/>
  <c r="D27" i="10" s="1"/>
  <c r="D33" i="8"/>
  <c r="B22" i="8"/>
  <c r="D23" i="10" s="1"/>
  <c r="C15" i="8"/>
  <c r="D25" i="10" s="1"/>
  <c r="C14" i="8"/>
  <c r="C13" i="8"/>
  <c r="C12" i="8"/>
  <c r="C11" i="8"/>
  <c r="F8" i="8"/>
  <c r="D24" i="10" s="1"/>
  <c r="F7" i="8"/>
  <c r="F6" i="8"/>
  <c r="F5" i="8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G11" i="7"/>
  <c r="D11" i="7"/>
  <c r="C11" i="7"/>
  <c r="G10" i="7"/>
  <c r="G12" i="7" s="1"/>
  <c r="D41" i="10" s="1"/>
  <c r="D10" i="7"/>
  <c r="C10" i="7"/>
  <c r="G9" i="7"/>
  <c r="D40" i="10" s="1"/>
  <c r="D9" i="7"/>
  <c r="C9" i="7"/>
  <c r="G8" i="7"/>
  <c r="D39" i="10" s="1"/>
  <c r="D8" i="7"/>
  <c r="C8" i="7"/>
  <c r="G13" i="7" s="1"/>
  <c r="G7" i="7"/>
  <c r="D7" i="7"/>
  <c r="C7" i="7"/>
  <c r="G6" i="7"/>
  <c r="D6" i="7"/>
  <c r="C6" i="7"/>
  <c r="G5" i="7"/>
  <c r="D38" i="10" s="1"/>
  <c r="D5" i="7"/>
  <c r="C5" i="7"/>
  <c r="J10" i="6"/>
  <c r="J11" i="6" s="1"/>
  <c r="J9" i="6"/>
  <c r="G9" i="6"/>
  <c r="J8" i="6"/>
  <c r="D31" i="10" s="1"/>
  <c r="G8" i="6"/>
  <c r="D36" i="10" s="1"/>
  <c r="J7" i="6"/>
  <c r="D37" i="10" s="1"/>
  <c r="J6" i="6"/>
  <c r="G6" i="6"/>
  <c r="J5" i="6"/>
  <c r="D32" i="10" s="1"/>
  <c r="G5" i="6"/>
  <c r="G7" i="6" s="1"/>
  <c r="D35" i="10" s="1"/>
  <c r="C11" i="5"/>
  <c r="B11" i="5"/>
  <c r="G10" i="5"/>
  <c r="H10" i="5" s="1"/>
  <c r="F10" i="5"/>
  <c r="E10" i="5"/>
  <c r="E11" i="5" s="1"/>
  <c r="D10" i="5"/>
  <c r="D11" i="5" s="1"/>
  <c r="C10" i="5"/>
  <c r="B10" i="5"/>
  <c r="F9" i="5"/>
  <c r="F11" i="5" s="1"/>
  <c r="E9" i="5"/>
  <c r="D9" i="5"/>
  <c r="G9" i="5" s="1"/>
  <c r="H9" i="5" s="1"/>
  <c r="C9" i="5"/>
  <c r="B9" i="5"/>
  <c r="K23" i="4"/>
  <c r="K22" i="4"/>
  <c r="K21" i="4"/>
  <c r="M15" i="4"/>
  <c r="L15" i="4"/>
  <c r="D30" i="10" s="1"/>
  <c r="K15" i="4"/>
  <c r="D20" i="10" s="1"/>
  <c r="M14" i="4"/>
  <c r="L14" i="4"/>
  <c r="D29" i="10" s="1"/>
  <c r="K14" i="4"/>
  <c r="M13" i="4"/>
  <c r="L13" i="4"/>
  <c r="K13" i="4"/>
  <c r="M12" i="4"/>
  <c r="L12" i="4"/>
  <c r="D28" i="10" s="1"/>
  <c r="K12" i="4"/>
  <c r="K24" i="4" s="1"/>
  <c r="M11" i="4"/>
  <c r="M16" i="4" s="1"/>
  <c r="L11" i="4"/>
  <c r="K11" i="4"/>
  <c r="M10" i="4"/>
  <c r="D21" i="10" s="1"/>
  <c r="L10" i="4"/>
  <c r="K10" i="4"/>
  <c r="K19" i="4" s="1"/>
  <c r="E194" i="3"/>
  <c r="J15" i="3" s="1"/>
  <c r="D17" i="10" s="1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J16" i="3"/>
  <c r="E16" i="3"/>
  <c r="E15" i="3"/>
  <c r="J14" i="3"/>
  <c r="E14" i="3"/>
  <c r="J13" i="3"/>
  <c r="D13" i="10" s="1"/>
  <c r="E13" i="3"/>
  <c r="J12" i="3"/>
  <c r="D11" i="10" s="1"/>
  <c r="E12" i="3"/>
  <c r="E11" i="3"/>
  <c r="E10" i="3"/>
  <c r="E9" i="3"/>
  <c r="M8" i="3"/>
  <c r="K8" i="3"/>
  <c r="D14" i="10" s="1"/>
  <c r="J8" i="3"/>
  <c r="E8" i="3"/>
  <c r="M7" i="3"/>
  <c r="K7" i="3"/>
  <c r="D15" i="10" s="1"/>
  <c r="J7" i="3"/>
  <c r="L7" i="3" s="1"/>
  <c r="E7" i="3"/>
  <c r="M6" i="3"/>
  <c r="K6" i="3"/>
  <c r="J6" i="3"/>
  <c r="L6" i="3" s="1"/>
  <c r="E6" i="3"/>
  <c r="M5" i="3"/>
  <c r="D16" i="10" s="1"/>
  <c r="L5" i="3"/>
  <c r="K5" i="3"/>
  <c r="D12" i="10" s="1"/>
  <c r="J5" i="3"/>
  <c r="D10" i="10" s="1"/>
  <c r="E5" i="3"/>
  <c r="L15" i="2"/>
  <c r="K15" i="2"/>
  <c r="M15" i="2" s="1"/>
  <c r="D8" i="10" s="1"/>
  <c r="M14" i="2"/>
  <c r="L14" i="2"/>
  <c r="K14" i="2"/>
  <c r="M13" i="2"/>
  <c r="L13" i="2"/>
  <c r="K13" i="2"/>
  <c r="L12" i="2"/>
  <c r="K12" i="2"/>
  <c r="M12" i="2" s="1"/>
  <c r="M11" i="2"/>
  <c r="L11" i="2"/>
  <c r="K11" i="2"/>
  <c r="L10" i="2"/>
  <c r="K10" i="2"/>
  <c r="M10" i="2" s="1"/>
  <c r="L9" i="2"/>
  <c r="K9" i="2"/>
  <c r="M9" i="2" s="1"/>
  <c r="M8" i="2"/>
  <c r="L8" i="2"/>
  <c r="K8" i="2"/>
  <c r="L7" i="2"/>
  <c r="D9" i="10" s="1"/>
  <c r="K7" i="2"/>
  <c r="M7" i="2" s="1"/>
  <c r="D7" i="10" s="1"/>
  <c r="L6" i="2"/>
  <c r="K6" i="2"/>
  <c r="M6" i="2" s="1"/>
  <c r="D6" i="10" s="1"/>
  <c r="G6" i="9" l="1"/>
  <c r="D42" i="10"/>
  <c r="L8" i="3"/>
  <c r="G11" i="5"/>
  <c r="G12" i="5"/>
  <c r="D26" i="10" s="1"/>
  <c r="D33" i="10"/>
  <c r="D18" i="10"/>
  <c r="D34" i="10"/>
  <c r="K16" i="4"/>
  <c r="L16" i="4"/>
  <c r="K25" i="4"/>
  <c r="K20" i="4" l="1"/>
  <c r="D19" i="10"/>
</calcChain>
</file>

<file path=xl/sharedStrings.xml><?xml version="1.0" encoding="utf-8"?>
<sst xmlns="http://schemas.openxmlformats.org/spreadsheetml/2006/main" count="406" uniqueCount="297">
  <si>
    <t>WMO 5 Oktober 2026 — Raw Chart Data</t>
  </si>
  <si>
    <t>Data mentah dan perhitungan untuk Exhibit 1–6 serta angka di teks halaman 1–3.</t>
  </si>
  <si>
    <t>Cara pakai</t>
  </si>
  <si>
    <t>Teks biru</t>
  </si>
  <si>
    <t>Data mentah yang disalin dari file sumber (ubah di sini kalau data diperbarui).</t>
  </si>
  <si>
    <t>Teks hitam</t>
  </si>
  <si>
    <t>Formula; ikut berubah otomatis.</t>
  </si>
  <si>
    <t>Teks hijau</t>
  </si>
  <si>
    <t>Link ke sheet lain.</t>
  </si>
  <si>
    <t>Isi kuning</t>
  </si>
  <si>
    <t>Angka kunci yang dikutip di teks WMO.</t>
  </si>
  <si>
    <t>Sheet</t>
  </si>
  <si>
    <t>Isi · Sumber</t>
  </si>
  <si>
    <t>Ex1_CME_Path</t>
  </si>
  <si>
    <t>Exhibit 1: jalur target rate CME (rata-rata tertimbang titik tengah) · Screenshot CME FedWatch 5 Okt 2026 (intraday, jam tidak tercatat)</t>
  </si>
  <si>
    <t>Ex2_UST_ACM</t>
  </si>
  <si>
    <t>Exhibit 2: UST 10YR vs ACM term premium + UST 2YR/2s10s · TIM - 4.xlsx (USGG10YR), TIM - 7.xlsx (ACMTP10, UST2Y)</t>
  </si>
  <si>
    <t>Ex3_SOX_Hyperscalers</t>
  </si>
  <si>
    <t>Exhibit 3: kinerja YTD SOX vs hyperscalers · TIM - 7.xlsx (SOX, Stocks; Alphabet = GOOG)</t>
  </si>
  <si>
    <t>Ex4_Hyperscaler_Bonds</t>
  </si>
  <si>
    <t>Exhibit 4: amount outstanding obligasi USD aktif per tahun terbit · TIM - 5.xlsx (Matrix)</t>
  </si>
  <si>
    <t>Ex5_FXR_USDIDR</t>
  </si>
  <si>
    <t>Exhibit 5: cadangan devisa vs USD/IDR akhir bulan · TIM - 7.xlsx (FX Reserve), TIM - 4.xlsx (USDIDR REGN)</t>
  </si>
  <si>
    <t>Ex6_Trade_Balance</t>
  </si>
  <si>
    <t>Exhibit 6: neraca dagang bulanan · TIM - 6.xlsx (ID TRADE BALANCE, USD mn)</t>
  </si>
  <si>
    <t>P2_Text_Data</t>
  </si>
  <si>
    <t>Data teks halaman 2: capex, EPS Micron &amp; BEst, yield obligasi 2036 · TIM - 7.xlsx (CAPEX, MU), TIM - 4.xlsx Sheet2 (snapshot 5 Okt)</t>
  </si>
  <si>
    <t>P3_SBN_CPI</t>
  </si>
  <si>
    <t>Data teks halaman 3: yield FR 10YR (GIDN10), spread ke UST, inflasi (IDCPI), real yield · TIM - 7.xlsx</t>
  </si>
  <si>
    <t>Text_Numbers</t>
  </si>
  <si>
    <t>Semua angka di teks WMO, masing-masing ditautkan ke sel perhitungannya</t>
  </si>
  <si>
    <t>Catatan</t>
  </si>
  <si>
    <t>Cutoff data pasar 2 Oktober 2026. Yield &amp; suku bunga dalam satuan persen (5,27 = 5,27%); probabilitas &amp; return disimpan sebagai pecahan dan diformat %.</t>
  </si>
  <si>
    <t>TIM - 4.xlsx Sheet2 sudah berisi #NAME? (tersimpan ulang tanpa add-in Bloomberg); yield obligasi 2036 memakai nilai yang dibaca 5 Okt 2026.</t>
  </si>
  <si>
    <t>Sheet CAPEX blok kedua (tanpa label) tidak dipakai. Cadangan devisa terbaru: Agustus 2026.</t>
  </si>
  <si>
    <t>Exhibit 1: CME-Implied Fed Target Rate Path by FOMC Meeting (%)</t>
  </si>
  <si>
    <t>Sumber: CME FedWatch conditional meeting probabilities (screenshot 5 Okt 2026, intraday; jam tidak tercatat). Titik tengah dalam %, probabilitas sebagai pecahan.</t>
  </si>
  <si>
    <t>Titik tengah rentang (%)</t>
  </si>
  <si>
    <t>FOMC</t>
  </si>
  <si>
    <t>Tanggal rapat</t>
  </si>
  <si>
    <t>375-400</t>
  </si>
  <si>
    <t>400-425</t>
  </si>
  <si>
    <t>425-450</t>
  </si>
  <si>
    <t>450-475</t>
  </si>
  <si>
    <t>475-500</t>
  </si>
  <si>
    <t>500-525</t>
  </si>
  <si>
    <t>525-550</t>
  </si>
  <si>
    <t>550-575</t>
  </si>
  <si>
    <t>Total prob.</t>
  </si>
  <si>
    <t>P(target ≥4,00%)</t>
  </si>
  <si>
    <t>Implied midpoint (%)</t>
  </si>
  <si>
    <t>Oct-26</t>
  </si>
  <si>
    <t>Dec-26</t>
  </si>
  <si>
    <t>Jan-27</t>
  </si>
  <si>
    <t>Mar-27</t>
  </si>
  <si>
    <t>Apr-27</t>
  </si>
  <si>
    <t>Jun-27</t>
  </si>
  <si>
    <t>Jul-27</t>
  </si>
  <si>
    <t>Sep-27</t>
  </si>
  <si>
    <t>Oct-27</t>
  </si>
  <si>
    <t>Dec-27</t>
  </si>
  <si>
    <t>Catatan: rentang 525-550 dan 550-575 pada rapat Oktober kosong di screenshot (dibiarkan kosong, tidak diisi nol).</t>
  </si>
  <si>
    <t>Exhibit 2: UST 10YR Yield vs. ACM 10YR Term Premium (%)</t>
  </si>
  <si>
    <t>Sumber: Bloomberg USGG10YR Index (TIM - 4), ACMTP10 Index &amp; USGG2YR (TIM - 7). Harian, 31 Des 2025 – 2 Okt 2026. Chart memakai 1 Jul – 2 Okt.</t>
  </si>
  <si>
    <t>Tanggal</t>
  </si>
  <si>
    <t>UST 10YR (%)</t>
  </si>
  <si>
    <t>ACM 10Y term premium (%)</t>
  </si>
  <si>
    <t>UST 2YR (%)</t>
  </si>
  <si>
    <t>2s10s (bps)</t>
  </si>
  <si>
    <t>Ringkasan</t>
  </si>
  <si>
    <t>Tanggal awal</t>
  </si>
  <si>
    <t>Tanggal akhir</t>
  </si>
  <si>
    <t>UST 10YR Δ (bps)</t>
  </si>
  <si>
    <t>Term premium Δ (bps)</t>
  </si>
  <si>
    <t>Ekspektasi (sisa, bps)</t>
  </si>
  <si>
    <t>UST 2YR Δ (bps)</t>
  </si>
  <si>
    <t>Pekan 25 Sep – 2 Okt</t>
  </si>
  <si>
    <t>28 Sep – 2 Okt</t>
  </si>
  <si>
    <t>Sejak akhir Juni</t>
  </si>
  <si>
    <t>YTD (31 Des 2025 – 2 Okt)</t>
  </si>
  <si>
    <t>Level</t>
  </si>
  <si>
    <t>Nilai</t>
  </si>
  <si>
    <t>Term premium ACM (%)</t>
  </si>
  <si>
    <t>2s10s 25 Sep (bps)</t>
  </si>
  <si>
    <t>2s10s 2 Okt (bps)</t>
  </si>
  <si>
    <t>Term premium tertinggi di data (%)</t>
  </si>
  <si>
    <t>Catatan: data ACMTP10 hanya tersedia sejak 6 Okt 2025, jadi 'tertinggi' berarti tertinggi dalam ±1 tahun.</t>
  </si>
  <si>
    <t>Exhibit 3: Semiconductors vs. Hyperscalers YTD Performance (%)</t>
  </si>
  <si>
    <t>Sumber: Bloomberg, TIM - 7.xlsx (SOX Index; GOOG, MSFT, AMZN, META, ORCL US Equity). Harga penutupan harian.</t>
  </si>
  <si>
    <t>SOX</t>
  </si>
  <si>
    <t>Alphabet</t>
  </si>
  <si>
    <t>Microsoft</t>
  </si>
  <si>
    <t>Amazon</t>
  </si>
  <si>
    <t>Meta</t>
  </si>
  <si>
    <t>Oracle</t>
  </si>
  <si>
    <t>Tanggal dasar YTD</t>
  </si>
  <si>
    <t>Tanggal dasar 'sejak akhir Juni'</t>
  </si>
  <si>
    <t>Tanggal dasar 1W</t>
  </si>
  <si>
    <t>Seri</t>
  </si>
  <si>
    <t>YTD</t>
  </si>
  <si>
    <t>1W</t>
  </si>
  <si>
    <t>Rata-rata 5 hyperscalers</t>
  </si>
  <si>
    <t>Chart (urutan WMO)</t>
  </si>
  <si>
    <t>Hyperscalers (avg.)</t>
  </si>
  <si>
    <t>Exhibit 4: Hyperscaler USD Bonds Outstanding by Issue Year (USD Bn)</t>
  </si>
  <si>
    <t>Sumber: Bloomberg SRCH, TIM - 5.xlsx (Matrix): SUM of Amount Outstanding, obligasi USD korporasi aktif (208 seri), dibuat 5 Okt 2026. Bukan gross issuance.</t>
  </si>
  <si>
    <t>Tahun terbit (raw, USD)</t>
  </si>
  <si>
    <t>Total (Bloomberg)</t>
  </si>
  <si>
    <t>2025</t>
  </si>
  <si>
    <t>2026</t>
  </si>
  <si>
    <t>USD Bn</t>
  </si>
  <si>
    <t>Total (sum)</t>
  </si>
  <si>
    <t>Cek vs Bloomberg</t>
  </si>
  <si>
    <t>2026 YTD</t>
  </si>
  <si>
    <t>Perubahan (USD Bn)</t>
  </si>
  <si>
    <t>Perubahan (%)</t>
  </si>
  <si>
    <t>Microsoft tidak punya amount outstanding untuk vintage 2025 &amp; 2026 (sel kosong di Matrix).</t>
  </si>
  <si>
    <t>Exhibit 5: Indonesia FX Reserves (USD Bn) vs. USD/IDR</t>
  </si>
  <si>
    <t>Sumber: Bloomberg — cadangan devisa (TIM - 7, FX Reserve; terbaru Agustus 2026), USDIDR REGN Curncy (TIM - 4). USD/IDR akhir bulan = observasi terakhir ≤ akhir bulan.</t>
  </si>
  <si>
    <t>Bulan</t>
  </si>
  <si>
    <t>Cadangan devisa (USD bn)</t>
  </si>
  <si>
    <t>USD/IDR akhir bulan</t>
  </si>
  <si>
    <t>Tanggal USD/IDR</t>
  </si>
  <si>
    <t>USD/IDR</t>
  </si>
  <si>
    <t>Oct-25</t>
  </si>
  <si>
    <t>Cadangan devisa Agustus 2026 (USD bn)</t>
  </si>
  <si>
    <t>Penutupan 2 Okt 2026</t>
  </si>
  <si>
    <t>Nov-25</t>
  </si>
  <si>
    <t>Cadangan devisa Desember 2025 (USD bn)</t>
  </si>
  <si>
    <t>Penutupan 31 Des 2025</t>
  </si>
  <si>
    <t>Dec-25</t>
  </si>
  <si>
    <t>Perubahan vs akhir 2025 (USD bn)</t>
  </si>
  <si>
    <t>Pelemahan rupiah YTD</t>
  </si>
  <si>
    <t>Jan-26</t>
  </si>
  <si>
    <t>Terendah 2026 (USD bn)</t>
  </si>
  <si>
    <t>Terendah September 2026</t>
  </si>
  <si>
    <t>Feb-26</t>
  </si>
  <si>
    <t>Bulan terendah</t>
  </si>
  <si>
    <t>Tertinggi September 2026</t>
  </si>
  <si>
    <t>Mar-26</t>
  </si>
  <si>
    <t>Puncak 2026</t>
  </si>
  <si>
    <t>Apr-26</t>
  </si>
  <si>
    <t>Tanggal puncak 2026</t>
  </si>
  <si>
    <t>May-26</t>
  </si>
  <si>
    <t>USD/IDR (harian)</t>
  </si>
  <si>
    <t>Jun-26</t>
  </si>
  <si>
    <t>Jul-26</t>
  </si>
  <si>
    <t>Aug-26</t>
  </si>
  <si>
    <t>Exhibit 6: Indonesia Trade Balance (USD Bn)</t>
  </si>
  <si>
    <t>Sumber: Bloomberg, TIM - 6.xlsx (ID TRADE BALANCE, USD mn; identik dengan IDBALTOL Index di TIM - 4). Chart = 12 bulan terakhir (Sep-25 – Agu-26).</t>
  </si>
  <si>
    <t>Akhir bulan</t>
  </si>
  <si>
    <t>Trade balance (USD mn)</t>
  </si>
  <si>
    <t>Trade balance (USD bn)</t>
  </si>
  <si>
    <t>Label chart</t>
  </si>
  <si>
    <t>Ringkasan (USD bn)</t>
  </si>
  <si>
    <t>Agustus 2026 (terbaru)</t>
  </si>
  <si>
    <t>Juli 2026</t>
  </si>
  <si>
    <t>Agustus 2025</t>
  </si>
  <si>
    <t>Surplus 12 bulan terakhir (Sep-25 – Agu-26)</t>
  </si>
  <si>
    <t>Surplus 12 bulan sebelumnya (Sep-24 – Agu-25)</t>
  </si>
  <si>
    <t>Januari–Agustus 2026</t>
  </si>
  <si>
    <t>Januari–Agustus 2025</t>
  </si>
  <si>
    <t>Perubahan Jan–Agu (YoY)</t>
  </si>
  <si>
    <t>Jumlah bulan defisit di data</t>
  </si>
  <si>
    <t>Data teks halaman 2: capex, Micron, yield obligasi 2036</t>
  </si>
  <si>
    <t>Sumber: TIM - 7.xlsx (CAPEX blok pertama, USD mn, tanda negatif = arus kas keluar; MU), TIM - 4.xlsx Sheet2 (snapshot 5 Okt 2026).</t>
  </si>
  <si>
    <t>Capex (USD mn, raw)</t>
  </si>
  <si>
    <t>Total 4 (USD bn)</t>
  </si>
  <si>
    <t>Q4 2025</t>
  </si>
  <si>
    <t>Q1 2026</t>
  </si>
  <si>
    <t>Q2 2026</t>
  </si>
  <si>
    <t>Pertumbuhan Q4-25 → Q2-26</t>
  </si>
  <si>
    <t>Oracle (kuartal fiskal)</t>
  </si>
  <si>
    <t>Capex (USD bn)</t>
  </si>
  <si>
    <t>Kelipatan Nov-25 → Agu-26</t>
  </si>
  <si>
    <t>Micron</t>
  </si>
  <si>
    <t>Keterangan</t>
  </si>
  <si>
    <t>EPS dasar kuartal terakhir (USD)</t>
  </si>
  <si>
    <t>MU sheet, periode 30 Sep 2026</t>
  </si>
  <si>
    <t>EPS dasar setahun sebelumnya (USD)</t>
  </si>
  <si>
    <t>MU sheet, periode 30 Sep 2025</t>
  </si>
  <si>
    <t>BEst EPS 29 Sep 2026</t>
  </si>
  <si>
    <t>Konsensus Bloomberg (horizon tidak tertulis)</t>
  </si>
  <si>
    <t>BEst EPS 2 Okt 2026</t>
  </si>
  <si>
    <t>Revisi BEst EPS</t>
  </si>
  <si>
    <t>Obligasi USD jatuh tempo 2036</t>
  </si>
  <si>
    <t>Coupon (%)</t>
  </si>
  <si>
    <t>Maturity</t>
  </si>
  <si>
    <t>Rating (BBG composite)</t>
  </si>
  <si>
    <t>YTM mid (%)</t>
  </si>
  <si>
    <t>Alphabet Inc</t>
  </si>
  <si>
    <t>2/15/2036</t>
  </si>
  <si>
    <t>AA</t>
  </si>
  <si>
    <t>8/15/2036</t>
  </si>
  <si>
    <t>Amazon.com Inc</t>
  </si>
  <si>
    <t>3/13/2036</t>
  </si>
  <si>
    <t>AA-</t>
  </si>
  <si>
    <t>7/9/2036</t>
  </si>
  <si>
    <t>Meta Platforms Inc</t>
  </si>
  <si>
    <t>5/15/2036</t>
  </si>
  <si>
    <t>Microsoft Corp</t>
  </si>
  <si>
    <t>8/8/2036</t>
  </si>
  <si>
    <t>AAA</t>
  </si>
  <si>
    <t>Oracle Corp</t>
  </si>
  <si>
    <t>2/4/2036</t>
  </si>
  <si>
    <t>BBB-</t>
  </si>
  <si>
    <t>7/15/2036</t>
  </si>
  <si>
    <t>Terendah / tertinggi (%)</t>
  </si>
  <si>
    <t>Selisih Oracle vs Microsoft (bps)</t>
  </si>
  <si>
    <t>Data teks halaman 3: spread FR 10YR vs UST 10YR, inflasi, real yield</t>
  </si>
  <si>
    <t>Sumber: TIM - 7.xlsx (GIDN10 = yield SBN 10 tahun rupiah; IDCPI); UST 10YR dari sheet Ex2_UST_ACM.</t>
  </si>
  <si>
    <t>FR 10YR / GIDN10 (%)</t>
  </si>
  <si>
    <t>Spread (bps)</t>
  </si>
  <si>
    <t>Spread tertinggi 2026 (bps)</t>
  </si>
  <si>
    <t>Tanggal spread tertinggi</t>
  </si>
  <si>
    <t>Spread 2 Okt 2026 (bps)</t>
  </si>
  <si>
    <t>Perubahan UST 10YR 11 Jun → 2 Okt (bps)</t>
  </si>
  <si>
    <t>Perubahan FR 10YR 11 Jun → 2 Okt (bps)</t>
  </si>
  <si>
    <t>FR 10YR 2 Okt 2026 (%)</t>
  </si>
  <si>
    <t>Inflasi Indonesia (IDCPI, % YoY)</t>
  </si>
  <si>
    <t>Real yield FR 10YR (2 Okt) = FR 10YR − inflasi Sep (%)</t>
  </si>
  <si>
    <t>Angka di teks WMO dan sel sumbernya</t>
  </si>
  <si>
    <t>Setiap baris menautkan angka di teks ke sel perhitungannya (hijau = link).</t>
  </si>
  <si>
    <t>Hal.</t>
  </si>
  <si>
    <t>Paragraf</t>
  </si>
  <si>
    <t>Angka di teks</t>
  </si>
  <si>
    <t>Nilai Excel</t>
  </si>
  <si>
    <t>Satuan / catatan</t>
  </si>
  <si>
    <t>Moved, Not Removed</t>
  </si>
  <si>
    <t>Peluang ≥4,00% Okt: 64,2% → 22,1%</t>
  </si>
  <si>
    <t>FedMeeting_20261028.csv (25 Sep &amp; 2 Okt) — tidak ada di workbook ini</t>
  </si>
  <si>
    <t>Implied Okt 3,93%</t>
  </si>
  <si>
    <t>%</t>
  </si>
  <si>
    <t>Implied Des 4,12%</t>
  </si>
  <si>
    <t>Implied Des 2027 4,68%</t>
  </si>
  <si>
    <t>P(≥4,00%) Desember 81,7%</t>
  </si>
  <si>
    <t>pecahan</t>
  </si>
  <si>
    <t>The Premium Did the Lifting</t>
  </si>
  <si>
    <t>UST 10YR +11,0 bps</t>
  </si>
  <si>
    <t>bps</t>
  </si>
  <si>
    <t>UST 10YR 5,27%</t>
  </si>
  <si>
    <t>Term premium +14,2 bps</t>
  </si>
  <si>
    <t>Term premium 0,91%</t>
  </si>
  <si>
    <t>YTD: term premium 16,6 dari 110,4 bps</t>
  </si>
  <si>
    <t>bps (UST 10YR YTD di J8)</t>
  </si>
  <si>
    <t>Sejak akhir Juni: +40,8 dari +80,5 bps</t>
  </si>
  <si>
    <t>bps (UST 10YR di J7)</t>
  </si>
  <si>
    <t>Two Ends, Two Stories</t>
  </si>
  <si>
    <t>UST 2YR −2,7 bps</t>
  </si>
  <si>
    <t>2s10s 30,9 → 44,6 bps</t>
  </si>
  <si>
    <t>bps (25 Sep di J14)</t>
  </si>
  <si>
    <t>Follow the Money</t>
  </si>
  <si>
    <t>SOX +85,5% YTD</t>
  </si>
  <si>
    <t>Rata-rata hyperscalers +1,5%</t>
  </si>
  <si>
    <t>Oracle −27,0% YTD</t>
  </si>
  <si>
    <t>SOX +3,7% sepekan</t>
  </si>
  <si>
    <t>Micron EPS USD 33,36 vs 2,86</t>
  </si>
  <si>
    <t>USD (setahun lalu di B19)</t>
  </si>
  <si>
    <t>Revisi BEst +8,5%</t>
  </si>
  <si>
    <t>Spending on Borrowed Money</t>
  </si>
  <si>
    <t>Capex 118,63 → 165,05 (+39,1%)</t>
  </si>
  <si>
    <t>pecahan (level di F5, F7)</t>
  </si>
  <si>
    <t>Capex Oracle 12,03 → 28,50</t>
  </si>
  <si>
    <t>kelipatan</t>
  </si>
  <si>
    <t>Obligasi 157,00 vs 93,25 (+68,4%)</t>
  </si>
  <si>
    <t>pecahan (level di G9, G10)</t>
  </si>
  <si>
    <t>Lenders Read the Balance Sheet</t>
  </si>
  <si>
    <t>Yield 2036: 5,6% – 7,5%, selisih ±190 bps</t>
  </si>
  <si>
    <t>Sejak akhir Juni: MSFT +38,7%</t>
  </si>
  <si>
    <t>Sejak akhir Juni: Meta +29,3%</t>
  </si>
  <si>
    <t>Sejak akhir Juni: Oracle −2,9%</t>
  </si>
  <si>
    <t>Calm, Not Cheap</t>
  </si>
  <si>
    <t>USD/IDR September 17.513 – 17.975</t>
  </si>
  <si>
    <t>terendah (tertinggi di J9)</t>
  </si>
  <si>
    <t>USD/IDR 17.875 (2 Okt)</t>
  </si>
  <si>
    <t>IDR</t>
  </si>
  <si>
    <t>Puncak 18.178 (Juni)</t>
  </si>
  <si>
    <t>Cadangan devisa USD 146,51 miliar</t>
  </si>
  <si>
    <t>USD bn</t>
  </si>
  <si>
    <t>Turun USD 9,96 miliar dari akhir 2025</t>
  </si>
  <si>
    <t>Terendah USD 144,90 miliar (Mei)</t>
  </si>
  <si>
    <t>Rupiah melemah 7,1% YTD</t>
  </si>
  <si>
    <t>One Good Month</t>
  </si>
  <si>
    <t>Surplus Agustus USD 3,55 miliar</t>
  </si>
  <si>
    <t>USD bn (Juli di G6)</t>
  </si>
  <si>
    <t>12 bulan terakhir USD 19,05 miliar</t>
  </si>
  <si>
    <t>12 bulan sebelumnya USD 41,67 miliar</t>
  </si>
  <si>
    <t>Jan–Agu 2026 USD 7,25 miliar (−75,3%)</t>
  </si>
  <si>
    <t>pecahan (level di G10)</t>
  </si>
  <si>
    <t>Less Pay, Less Room</t>
  </si>
  <si>
    <t>Spread 298 bps (11 Jun)</t>
  </si>
  <si>
    <t>Spread 190 bps (2 Okt)</t>
  </si>
  <si>
    <t>UST +81 bps, SBN −27,9 bps</t>
  </si>
  <si>
    <t>bps (SBN di G9)</t>
  </si>
  <si>
    <t>Inflasi September 3,28%</t>
  </si>
  <si>
    <t>% YoY</t>
  </si>
  <si>
    <t>Real yield ±3,9%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</si>
</sst>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6" formatCode="0.0%"/>
    <numFmt numFmtId="167" formatCode="0.0000"/>
    <numFmt numFmtId="168" formatCode="0.0"/>
    <numFmt numFmtId="169" formatCode="\+0.00;\-0.00;0.00"/>
    <numFmt numFmtId="170" formatCode="\+0.00;\-0.00"/>
    <numFmt numFmtId="171" formatCode="#,##0.0"/>
    <numFmt numFmtId="172" formatCode="0.00&quot;x&quot;"/>
  </numFmts>
  <fonts count="11" x14ac:knownFonts="1">
    <font>
      <sz val="11"/>
      <color theme="1"/>
      <name val="Calibri"/>
      <family val="2"/>
      <scheme val="minor"/>
    </font>
    <font>
      <b/>
      <sz val="14"/>
      <color rgb="FF002060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51A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2" borderId="0" xfId="0" applyFont="1" applyFill="1"/>
    <xf numFmtId="164" fontId="8" fillId="0" borderId="1" xfId="0" applyNumberFormat="1" applyFont="1" applyBorder="1"/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5" fontId="8" fillId="0" borderId="1" xfId="0" applyNumberFormat="1" applyFont="1" applyBorder="1"/>
    <xf numFmtId="166" fontId="8" fillId="0" borderId="1" xfId="0" applyNumberFormat="1" applyFont="1" applyBorder="1"/>
    <xf numFmtId="166" fontId="4" fillId="0" borderId="1" xfId="0" applyNumberFormat="1" applyFont="1" applyBorder="1"/>
    <xf numFmtId="2" fontId="4" fillId="2" borderId="1" xfId="0" applyNumberFormat="1" applyFont="1" applyFill="1" applyBorder="1"/>
    <xf numFmtId="166" fontId="4" fillId="2" borderId="1" xfId="0" applyNumberFormat="1" applyFont="1" applyFill="1" applyBorder="1"/>
    <xf numFmtId="2" fontId="4" fillId="0" borderId="1" xfId="0" applyNumberFormat="1" applyFont="1" applyBorder="1"/>
    <xf numFmtId="167" fontId="8" fillId="0" borderId="1" xfId="0" applyNumberFormat="1" applyFont="1" applyBorder="1"/>
    <xf numFmtId="168" fontId="4" fillId="0" borderId="1" xfId="0" applyNumberFormat="1" applyFont="1" applyBorder="1"/>
    <xf numFmtId="0" fontId="4" fillId="0" borderId="1" xfId="0" applyFont="1" applyBorder="1"/>
    <xf numFmtId="168" fontId="4" fillId="2" borderId="1" xfId="0" applyNumberFormat="1" applyFont="1" applyFill="1" applyBorder="1"/>
    <xf numFmtId="167" fontId="4" fillId="0" borderId="1" xfId="0" applyNumberFormat="1" applyFont="1" applyBorder="1"/>
    <xf numFmtId="4" fontId="8" fillId="0" borderId="1" xfId="0" applyNumberFormat="1" applyFont="1" applyBorder="1"/>
    <xf numFmtId="0" fontId="3" fillId="0" borderId="1" xfId="0" applyFont="1" applyBorder="1"/>
    <xf numFmtId="3" fontId="8" fillId="0" borderId="1" xfId="0" applyNumberFormat="1" applyFont="1" applyBorder="1"/>
    <xf numFmtId="169" fontId="4" fillId="2" borderId="1" xfId="0" applyNumberFormat="1" applyFont="1" applyFill="1" applyBorder="1"/>
    <xf numFmtId="169" fontId="4" fillId="0" borderId="1" xfId="0" applyNumberFormat="1" applyFont="1" applyBorder="1"/>
    <xf numFmtId="2" fontId="8" fillId="0" borderId="1" xfId="0" applyNumberFormat="1" applyFont="1" applyBorder="1"/>
    <xf numFmtId="3" fontId="4" fillId="2" borderId="1" xfId="0" applyNumberFormat="1" applyFont="1" applyFill="1" applyBorder="1"/>
    <xf numFmtId="3" fontId="4" fillId="0" borderId="1" xfId="0" applyNumberFormat="1" applyFont="1" applyBorder="1"/>
    <xf numFmtId="170" fontId="4" fillId="2" borderId="1" xfId="0" applyNumberFormat="1" applyFont="1" applyFill="1" applyBorder="1"/>
    <xf numFmtId="49" fontId="4" fillId="0" borderId="1" xfId="0" applyNumberFormat="1" applyFont="1" applyBorder="1"/>
    <xf numFmtId="15" fontId="4" fillId="0" borderId="1" xfId="0" applyNumberFormat="1" applyFont="1" applyBorder="1"/>
    <xf numFmtId="171" fontId="8" fillId="0" borderId="1" xfId="0" applyNumberFormat="1" applyFont="1" applyBorder="1"/>
    <xf numFmtId="1" fontId="4" fillId="0" borderId="1" xfId="0" applyNumberFormat="1" applyFont="1" applyBorder="1"/>
    <xf numFmtId="172" fontId="4" fillId="0" borderId="1" xfId="0" applyNumberFormat="1" applyFont="1" applyBorder="1"/>
    <xf numFmtId="1" fontId="4" fillId="2" borderId="1" xfId="0" applyNumberFormat="1" applyFont="1" applyFill="1" applyBorder="1"/>
    <xf numFmtId="167" fontId="10" fillId="0" borderId="1" xfId="0" applyNumberFormat="1" applyFont="1" applyBorder="1"/>
    <xf numFmtId="164" fontId="4" fillId="0" borderId="1" xfId="0" applyNumberFormat="1" applyFont="1" applyBorder="1"/>
    <xf numFmtId="2" fontId="8" fillId="2" borderId="1" xfId="0" applyNumberFormat="1" applyFont="1" applyFill="1" applyBorder="1"/>
    <xf numFmtId="4" fontId="10" fillId="0" borderId="1" xfId="0" applyNumberFormat="1" applyFont="1" applyBorder="1"/>
    <xf numFmtId="166" fontId="10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Exhibit 1: CME-Implied Fed Target Rate Path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Ex1_CME_Path!$M$5</c:f>
              <c:strCache>
                <c:ptCount val="1"/>
                <c:pt idx="0">
                  <c:v>Implied midpoint (%)</c:v>
                </c:pt>
              </c:strCache>
            </c:strRef>
          </c:tx>
          <c:spPr>
            <a:ln w="28575">
              <a:solidFill>
                <a:srgbClr val="0051A2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Ex1_CME_Path!$A$6:$A$15</c:f>
              <c:strCache>
                <c:ptCount val="10"/>
                <c:pt idx="0">
                  <c:v>Oct-26</c:v>
                </c:pt>
                <c:pt idx="1">
                  <c:v>Dec-26</c:v>
                </c:pt>
                <c:pt idx="2">
                  <c:v>Jan-27</c:v>
                </c:pt>
                <c:pt idx="3">
                  <c:v>Mar-27</c:v>
                </c:pt>
                <c:pt idx="4">
                  <c:v>Apr-27</c:v>
                </c:pt>
                <c:pt idx="5">
                  <c:v>Jun-27</c:v>
                </c:pt>
                <c:pt idx="6">
                  <c:v>Jul-27</c:v>
                </c:pt>
                <c:pt idx="7">
                  <c:v>Sep-27</c:v>
                </c:pt>
                <c:pt idx="8">
                  <c:v>Oct-27</c:v>
                </c:pt>
                <c:pt idx="9">
                  <c:v>Dec-27</c:v>
                </c:pt>
              </c:strCache>
            </c:strRef>
          </c:cat>
          <c:val>
            <c:numRef>
              <c:f>Ex1_CME_Path!$M$6:$M$15</c:f>
              <c:numCache>
                <c:formatCode>0.00</c:formatCode>
                <c:ptCount val="10"/>
                <c:pt idx="0">
                  <c:v>3.92625</c:v>
                </c:pt>
                <c:pt idx="1">
                  <c:v>4.1187500000000004</c:v>
                </c:pt>
                <c:pt idx="2">
                  <c:v>4.2162499999999996</c:v>
                </c:pt>
                <c:pt idx="3">
                  <c:v>4.3900000000000006</c:v>
                </c:pt>
                <c:pt idx="4">
                  <c:v>4.4857500000000003</c:v>
                </c:pt>
                <c:pt idx="5">
                  <c:v>4.5990000000000011</c:v>
                </c:pt>
                <c:pt idx="6">
                  <c:v>4.6467500000000008</c:v>
                </c:pt>
                <c:pt idx="7">
                  <c:v>4.686561561561561</c:v>
                </c:pt>
                <c:pt idx="8">
                  <c:v>4.6978228228228227</c:v>
                </c:pt>
                <c:pt idx="9">
                  <c:v>4.6818637274549095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95-D249-8582-65FFB8FB5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3.8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  <c:majorUnit val="0.2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Exhibit 2: UST 10YR vs ACM 10YR Term Premium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ACM 10Y term premium (kiri)</c:v>
          </c:tx>
          <c:spPr>
            <a:ln w="28575">
              <a:solidFill>
                <a:srgbClr val="0051A2"/>
              </a:solidFill>
              <a:prstDash val="solid"/>
            </a:ln>
          </c:spPr>
          <c:marker>
            <c:symbol val="none"/>
          </c:marker>
          <c:cat>
            <c:numRef>
              <c:f>Ex2_UST_ACM!$A$129:$A$194</c:f>
              <c:numCache>
                <c:formatCode>d\-mmm\-yy</c:formatCode>
                <c:ptCount val="66"/>
                <c:pt idx="0">
                  <c:v>46204</c:v>
                </c:pt>
                <c:pt idx="1">
                  <c:v>46205</c:v>
                </c:pt>
                <c:pt idx="2">
                  <c:v>46209</c:v>
                </c:pt>
                <c:pt idx="3">
                  <c:v>46210</c:v>
                </c:pt>
                <c:pt idx="4">
                  <c:v>46211</c:v>
                </c:pt>
                <c:pt idx="5">
                  <c:v>46212</c:v>
                </c:pt>
                <c:pt idx="6">
                  <c:v>46213</c:v>
                </c:pt>
                <c:pt idx="7">
                  <c:v>46216</c:v>
                </c:pt>
                <c:pt idx="8">
                  <c:v>46217</c:v>
                </c:pt>
                <c:pt idx="9">
                  <c:v>46218</c:v>
                </c:pt>
                <c:pt idx="10">
                  <c:v>46219</c:v>
                </c:pt>
                <c:pt idx="11">
                  <c:v>46220</c:v>
                </c:pt>
                <c:pt idx="12">
                  <c:v>46223</c:v>
                </c:pt>
                <c:pt idx="13">
                  <c:v>46224</c:v>
                </c:pt>
                <c:pt idx="14">
                  <c:v>46225</c:v>
                </c:pt>
                <c:pt idx="15">
                  <c:v>46226</c:v>
                </c:pt>
                <c:pt idx="16">
                  <c:v>46227</c:v>
                </c:pt>
                <c:pt idx="17">
                  <c:v>46230</c:v>
                </c:pt>
                <c:pt idx="18">
                  <c:v>46231</c:v>
                </c:pt>
                <c:pt idx="19">
                  <c:v>46232</c:v>
                </c:pt>
                <c:pt idx="20">
                  <c:v>46233</c:v>
                </c:pt>
                <c:pt idx="21">
                  <c:v>46234</c:v>
                </c:pt>
                <c:pt idx="22">
                  <c:v>46237</c:v>
                </c:pt>
                <c:pt idx="23">
                  <c:v>46238</c:v>
                </c:pt>
                <c:pt idx="24">
                  <c:v>46239</c:v>
                </c:pt>
                <c:pt idx="25">
                  <c:v>46240</c:v>
                </c:pt>
                <c:pt idx="26">
                  <c:v>46241</c:v>
                </c:pt>
                <c:pt idx="27">
                  <c:v>46244</c:v>
                </c:pt>
                <c:pt idx="28">
                  <c:v>46245</c:v>
                </c:pt>
                <c:pt idx="29">
                  <c:v>46246</c:v>
                </c:pt>
                <c:pt idx="30">
                  <c:v>46247</c:v>
                </c:pt>
                <c:pt idx="31">
                  <c:v>46248</c:v>
                </c:pt>
                <c:pt idx="32">
                  <c:v>46251</c:v>
                </c:pt>
                <c:pt idx="33">
                  <c:v>46252</c:v>
                </c:pt>
                <c:pt idx="34">
                  <c:v>46253</c:v>
                </c:pt>
                <c:pt idx="35">
                  <c:v>46254</c:v>
                </c:pt>
                <c:pt idx="36">
                  <c:v>46255</c:v>
                </c:pt>
                <c:pt idx="37">
                  <c:v>46258</c:v>
                </c:pt>
                <c:pt idx="38">
                  <c:v>46259</c:v>
                </c:pt>
                <c:pt idx="39">
                  <c:v>46260</c:v>
                </c:pt>
                <c:pt idx="40">
                  <c:v>46261</c:v>
                </c:pt>
                <c:pt idx="41">
                  <c:v>46262</c:v>
                </c:pt>
                <c:pt idx="42">
                  <c:v>46265</c:v>
                </c:pt>
                <c:pt idx="43">
                  <c:v>46266</c:v>
                </c:pt>
                <c:pt idx="44">
                  <c:v>46267</c:v>
                </c:pt>
                <c:pt idx="45">
                  <c:v>46268</c:v>
                </c:pt>
                <c:pt idx="46">
                  <c:v>46269</c:v>
                </c:pt>
                <c:pt idx="47">
                  <c:v>46273</c:v>
                </c:pt>
                <c:pt idx="48">
                  <c:v>46274</c:v>
                </c:pt>
                <c:pt idx="49">
                  <c:v>46275</c:v>
                </c:pt>
                <c:pt idx="50">
                  <c:v>46276</c:v>
                </c:pt>
                <c:pt idx="51">
                  <c:v>46279</c:v>
                </c:pt>
                <c:pt idx="52">
                  <c:v>46280</c:v>
                </c:pt>
                <c:pt idx="53">
                  <c:v>46281</c:v>
                </c:pt>
                <c:pt idx="54">
                  <c:v>46282</c:v>
                </c:pt>
                <c:pt idx="55">
                  <c:v>46283</c:v>
                </c:pt>
                <c:pt idx="56">
                  <c:v>46286</c:v>
                </c:pt>
                <c:pt idx="57">
                  <c:v>46287</c:v>
                </c:pt>
                <c:pt idx="58">
                  <c:v>46288</c:v>
                </c:pt>
                <c:pt idx="59">
                  <c:v>46289</c:v>
                </c:pt>
                <c:pt idx="60">
                  <c:v>46290</c:v>
                </c:pt>
                <c:pt idx="61">
                  <c:v>46293</c:v>
                </c:pt>
                <c:pt idx="62">
                  <c:v>46294</c:v>
                </c:pt>
                <c:pt idx="63">
                  <c:v>46295</c:v>
                </c:pt>
                <c:pt idx="64">
                  <c:v>46296</c:v>
                </c:pt>
                <c:pt idx="65">
                  <c:v>46297</c:v>
                </c:pt>
              </c:numCache>
            </c:numRef>
          </c:cat>
          <c:val>
            <c:numRef>
              <c:f>Ex2_UST_ACM!$C$129:$C$194</c:f>
              <c:numCache>
                <c:formatCode>0.0000</c:formatCode>
                <c:ptCount val="66"/>
                <c:pt idx="0">
                  <c:v>0.54239999999999999</c:v>
                </c:pt>
                <c:pt idx="1">
                  <c:v>0.58409999999999995</c:v>
                </c:pt>
                <c:pt idx="2">
                  <c:v>0.58760000000000001</c:v>
                </c:pt>
                <c:pt idx="3">
                  <c:v>0.62429999999999997</c:v>
                </c:pt>
                <c:pt idx="4">
                  <c:v>0.6421</c:v>
                </c:pt>
                <c:pt idx="5">
                  <c:v>0.64539999999999997</c:v>
                </c:pt>
                <c:pt idx="6">
                  <c:v>0.6431</c:v>
                </c:pt>
                <c:pt idx="7">
                  <c:v>0.65759999999999996</c:v>
                </c:pt>
                <c:pt idx="8">
                  <c:v>0.67459999999999998</c:v>
                </c:pt>
                <c:pt idx="9">
                  <c:v>0.67879999999999996</c:v>
                </c:pt>
                <c:pt idx="10">
                  <c:v>0.68559999999999999</c:v>
                </c:pt>
                <c:pt idx="11">
                  <c:v>0.64790000000000003</c:v>
                </c:pt>
                <c:pt idx="12">
                  <c:v>0.68130000000000002</c:v>
                </c:pt>
                <c:pt idx="13">
                  <c:v>0.68789999999999996</c:v>
                </c:pt>
                <c:pt idx="14">
                  <c:v>0.7</c:v>
                </c:pt>
                <c:pt idx="15">
                  <c:v>0.71430000000000005</c:v>
                </c:pt>
                <c:pt idx="16">
                  <c:v>0.7</c:v>
                </c:pt>
                <c:pt idx="17">
                  <c:v>0.65900000000000003</c:v>
                </c:pt>
                <c:pt idx="18">
                  <c:v>0.64359999999999995</c:v>
                </c:pt>
                <c:pt idx="19">
                  <c:v>0.76770000000000005</c:v>
                </c:pt>
                <c:pt idx="20">
                  <c:v>0.77959999999999996</c:v>
                </c:pt>
                <c:pt idx="21">
                  <c:v>0.83320000000000005</c:v>
                </c:pt>
                <c:pt idx="22">
                  <c:v>0.78400000000000003</c:v>
                </c:pt>
                <c:pt idx="23">
                  <c:v>0.748</c:v>
                </c:pt>
                <c:pt idx="24">
                  <c:v>0.75139999999999996</c:v>
                </c:pt>
                <c:pt idx="25">
                  <c:v>0.77059999999999995</c:v>
                </c:pt>
                <c:pt idx="26">
                  <c:v>0.77590000000000003</c:v>
                </c:pt>
                <c:pt idx="27">
                  <c:v>0.81679999999999997</c:v>
                </c:pt>
                <c:pt idx="28">
                  <c:v>0.81459999999999999</c:v>
                </c:pt>
                <c:pt idx="29">
                  <c:v>0.82199999999999995</c:v>
                </c:pt>
                <c:pt idx="30">
                  <c:v>0.79969999999999997</c:v>
                </c:pt>
                <c:pt idx="31">
                  <c:v>0.84809999999999997</c:v>
                </c:pt>
                <c:pt idx="32">
                  <c:v>0.89039999999999997</c:v>
                </c:pt>
                <c:pt idx="33">
                  <c:v>0.86629999999999996</c:v>
                </c:pt>
                <c:pt idx="34">
                  <c:v>0.76739999999999997</c:v>
                </c:pt>
                <c:pt idx="35">
                  <c:v>0.8115</c:v>
                </c:pt>
                <c:pt idx="36">
                  <c:v>0.83550000000000002</c:v>
                </c:pt>
                <c:pt idx="37">
                  <c:v>0.78380000000000005</c:v>
                </c:pt>
                <c:pt idx="38">
                  <c:v>0.73350000000000004</c:v>
                </c:pt>
                <c:pt idx="39">
                  <c:v>0.74519999999999997</c:v>
                </c:pt>
                <c:pt idx="40">
                  <c:v>0.75319999999999998</c:v>
                </c:pt>
                <c:pt idx="41">
                  <c:v>0.72360000000000002</c:v>
                </c:pt>
                <c:pt idx="42">
                  <c:v>0.75939999999999996</c:v>
                </c:pt>
                <c:pt idx="43">
                  <c:v>0.77900000000000003</c:v>
                </c:pt>
                <c:pt idx="44">
                  <c:v>0.7198</c:v>
                </c:pt>
                <c:pt idx="45">
                  <c:v>0.75349999999999995</c:v>
                </c:pt>
                <c:pt idx="46">
                  <c:v>0.67669999999999997</c:v>
                </c:pt>
                <c:pt idx="47">
                  <c:v>0.75580000000000003</c:v>
                </c:pt>
                <c:pt idx="48">
                  <c:v>0.70340000000000003</c:v>
                </c:pt>
                <c:pt idx="49">
                  <c:v>0.75639999999999996</c:v>
                </c:pt>
                <c:pt idx="50">
                  <c:v>0.7137</c:v>
                </c:pt>
                <c:pt idx="51">
                  <c:v>0.69310000000000005</c:v>
                </c:pt>
                <c:pt idx="52">
                  <c:v>0.70530000000000004</c:v>
                </c:pt>
                <c:pt idx="53">
                  <c:v>0.66579999999999995</c:v>
                </c:pt>
                <c:pt idx="54">
                  <c:v>0.60680000000000001</c:v>
                </c:pt>
                <c:pt idx="55">
                  <c:v>0.63200000000000001</c:v>
                </c:pt>
                <c:pt idx="56">
                  <c:v>0.57579999999999998</c:v>
                </c:pt>
                <c:pt idx="57">
                  <c:v>0.57169999999999999</c:v>
                </c:pt>
                <c:pt idx="58">
                  <c:v>0.64180000000000004</c:v>
                </c:pt>
                <c:pt idx="59">
                  <c:v>0.72650000000000003</c:v>
                </c:pt>
                <c:pt idx="60">
                  <c:v>0.77149999999999996</c:v>
                </c:pt>
                <c:pt idx="61">
                  <c:v>0.78969999999999996</c:v>
                </c:pt>
                <c:pt idx="62">
                  <c:v>0.84379999999999999</c:v>
                </c:pt>
                <c:pt idx="63">
                  <c:v>0.88500000000000001</c:v>
                </c:pt>
                <c:pt idx="64">
                  <c:v>0.90469999999999995</c:v>
                </c:pt>
                <c:pt idx="65">
                  <c:v>0.91369999999999996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B-DE4F-9D0A-353EC88D7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v>UST 10YR (kanan)</c:v>
          </c:tx>
          <c:spPr>
            <a:ln w="22225">
              <a:solidFill>
                <a:srgbClr val="ED7D31"/>
              </a:solidFill>
              <a:prstDash val="solid"/>
            </a:ln>
          </c:spPr>
          <c:marker>
            <c:symbol val="none"/>
          </c:marker>
          <c:val>
            <c:numRef>
              <c:f>Ex2_UST_ACM!$B$129:$B$194</c:f>
              <c:numCache>
                <c:formatCode>0.0000</c:formatCode>
                <c:ptCount val="66"/>
                <c:pt idx="0">
                  <c:v>4.4790999999999999</c:v>
                </c:pt>
                <c:pt idx="1">
                  <c:v>4.4832000000000001</c:v>
                </c:pt>
                <c:pt idx="2">
                  <c:v>4.4692999999999996</c:v>
                </c:pt>
                <c:pt idx="3">
                  <c:v>4.5510999999999999</c:v>
                </c:pt>
                <c:pt idx="4">
                  <c:v>4.5792000000000002</c:v>
                </c:pt>
                <c:pt idx="5">
                  <c:v>4.5510999999999999</c:v>
                </c:pt>
                <c:pt idx="6">
                  <c:v>4.5612000000000004</c:v>
                </c:pt>
                <c:pt idx="7">
                  <c:v>4.6237000000000004</c:v>
                </c:pt>
                <c:pt idx="8">
                  <c:v>4.5894000000000004</c:v>
                </c:pt>
                <c:pt idx="9">
                  <c:v>4.5472999999999999</c:v>
                </c:pt>
                <c:pt idx="10">
                  <c:v>4.5533999999999999</c:v>
                </c:pt>
                <c:pt idx="11">
                  <c:v>4.5473999999999997</c:v>
                </c:pt>
                <c:pt idx="12">
                  <c:v>4.5917000000000003</c:v>
                </c:pt>
                <c:pt idx="13">
                  <c:v>4.6280999999999999</c:v>
                </c:pt>
                <c:pt idx="14">
                  <c:v>4.6544999999999996</c:v>
                </c:pt>
                <c:pt idx="15">
                  <c:v>4.6932</c:v>
                </c:pt>
                <c:pt idx="16">
                  <c:v>4.6771000000000003</c:v>
                </c:pt>
                <c:pt idx="17">
                  <c:v>4.6486999999999998</c:v>
                </c:pt>
                <c:pt idx="18">
                  <c:v>4.6062000000000003</c:v>
                </c:pt>
                <c:pt idx="19">
                  <c:v>4.6772999999999998</c:v>
                </c:pt>
                <c:pt idx="20">
                  <c:v>4.6733000000000002</c:v>
                </c:pt>
                <c:pt idx="21">
                  <c:v>4.7347000000000001</c:v>
                </c:pt>
                <c:pt idx="22">
                  <c:v>4.6755000000000004</c:v>
                </c:pt>
                <c:pt idx="23">
                  <c:v>4.6125999999999996</c:v>
                </c:pt>
                <c:pt idx="24">
                  <c:v>4.6127000000000002</c:v>
                </c:pt>
                <c:pt idx="25">
                  <c:v>4.6778000000000004</c:v>
                </c:pt>
                <c:pt idx="26">
                  <c:v>4.6454000000000004</c:v>
                </c:pt>
                <c:pt idx="27">
                  <c:v>4.7066999999999997</c:v>
                </c:pt>
                <c:pt idx="28">
                  <c:v>4.6882999999999999</c:v>
                </c:pt>
                <c:pt idx="29">
                  <c:v>4.6924999999999999</c:v>
                </c:pt>
                <c:pt idx="30">
                  <c:v>4.6426999999999996</c:v>
                </c:pt>
                <c:pt idx="31">
                  <c:v>4.6921999999999997</c:v>
                </c:pt>
                <c:pt idx="32">
                  <c:v>4.7218999999999998</c:v>
                </c:pt>
                <c:pt idx="33">
                  <c:v>4.7041000000000004</c:v>
                </c:pt>
                <c:pt idx="34">
                  <c:v>4.6466000000000003</c:v>
                </c:pt>
                <c:pt idx="35">
                  <c:v>4.7041000000000004</c:v>
                </c:pt>
                <c:pt idx="36">
                  <c:v>4.7339000000000002</c:v>
                </c:pt>
                <c:pt idx="37">
                  <c:v>4.6961000000000004</c:v>
                </c:pt>
                <c:pt idx="38">
                  <c:v>4.6288</c:v>
                </c:pt>
                <c:pt idx="39">
                  <c:v>4.6464999999999996</c:v>
                </c:pt>
                <c:pt idx="40">
                  <c:v>4.6761999999999997</c:v>
                </c:pt>
                <c:pt idx="41">
                  <c:v>4.718</c:v>
                </c:pt>
                <c:pt idx="42">
                  <c:v>4.75</c:v>
                </c:pt>
                <c:pt idx="43">
                  <c:v>4.7980999999999998</c:v>
                </c:pt>
                <c:pt idx="44">
                  <c:v>4.7779999999999996</c:v>
                </c:pt>
                <c:pt idx="45">
                  <c:v>4.7679999999999998</c:v>
                </c:pt>
                <c:pt idx="46">
                  <c:v>4.7820999999999998</c:v>
                </c:pt>
                <c:pt idx="47">
                  <c:v>4.7881999999999998</c:v>
                </c:pt>
                <c:pt idx="48">
                  <c:v>4.8406000000000002</c:v>
                </c:pt>
                <c:pt idx="49">
                  <c:v>4.9626000000000001</c:v>
                </c:pt>
                <c:pt idx="50">
                  <c:v>4.9668999999999999</c:v>
                </c:pt>
                <c:pt idx="51">
                  <c:v>4.9874999999999998</c:v>
                </c:pt>
                <c:pt idx="52">
                  <c:v>5.0019</c:v>
                </c:pt>
                <c:pt idx="53">
                  <c:v>5.0225</c:v>
                </c:pt>
                <c:pt idx="54">
                  <c:v>4.9303999999999997</c:v>
                </c:pt>
                <c:pt idx="55">
                  <c:v>4.9961000000000002</c:v>
                </c:pt>
                <c:pt idx="56">
                  <c:v>4.9509999999999996</c:v>
                </c:pt>
                <c:pt idx="57">
                  <c:v>4.9612999999999996</c:v>
                </c:pt>
                <c:pt idx="58">
                  <c:v>5.1142000000000003</c:v>
                </c:pt>
                <c:pt idx="59">
                  <c:v>5.1978</c:v>
                </c:pt>
                <c:pt idx="60">
                  <c:v>5.1604000000000001</c:v>
                </c:pt>
                <c:pt idx="61">
                  <c:v>5.2361000000000004</c:v>
                </c:pt>
                <c:pt idx="62">
                  <c:v>5.2362000000000002</c:v>
                </c:pt>
                <c:pt idx="63">
                  <c:v>5.2849000000000004</c:v>
                </c:pt>
                <c:pt idx="64">
                  <c:v>5.2407000000000004</c:v>
                </c:pt>
                <c:pt idx="65">
                  <c:v>5.2706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B-DE4F-9D0A-353EC88D7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date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"/>
          <c:min val="0.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Term premium (%, kiri)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5.6"/>
          <c:min val="4.2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UST 10YR (%, kanan)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Exhibit 3: YTD Performance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Ex3_SOX_Hyperscalers!$K$18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rgbClr val="0051A2"/>
            </a:solidFill>
            <a:ln>
              <a:prstDash val="solid"/>
            </a:ln>
          </c:spPr>
          <c:invertIfNegative val="1"/>
          <c:cat>
            <c:strRef>
              <c:f>Ex3_SOX_Hyperscalers!$J$19:$J$25</c:f>
              <c:strCache>
                <c:ptCount val="7"/>
                <c:pt idx="0">
                  <c:v>SOX</c:v>
                </c:pt>
                <c:pt idx="1">
                  <c:v>Hyperscalers (avg.)</c:v>
                </c:pt>
                <c:pt idx="2">
                  <c:v>Meta</c:v>
                </c:pt>
                <c:pt idx="3">
                  <c:v>Amazon</c:v>
                </c:pt>
                <c:pt idx="4">
                  <c:v>Alphabet</c:v>
                </c:pt>
                <c:pt idx="5">
                  <c:v>Microsoft</c:v>
                </c:pt>
                <c:pt idx="6">
                  <c:v>Oracle</c:v>
                </c:pt>
              </c:strCache>
            </c:strRef>
          </c:cat>
          <c:val>
            <c:numRef>
              <c:f>Ex3_SOX_Hyperscalers!$K$19:$K$25</c:f>
              <c:numCache>
                <c:formatCode>0.0%</c:formatCode>
                <c:ptCount val="7"/>
                <c:pt idx="0">
                  <c:v>0.85464168317654998</c:v>
                </c:pt>
                <c:pt idx="1">
                  <c:v>1.54973981750961E-2</c:v>
                </c:pt>
                <c:pt idx="2">
                  <c:v>0.10300110590980016</c:v>
                </c:pt>
                <c:pt idx="3">
                  <c:v>8.9680270340525059E-2</c:v>
                </c:pt>
                <c:pt idx="4">
                  <c:v>8.4608030592734362E-2</c:v>
                </c:pt>
                <c:pt idx="5">
                  <c:v>7.0117034034986148E-2</c:v>
                </c:pt>
                <c:pt idx="6">
                  <c:v>-0.26991945000256523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AE-2442-A8C3-665122B79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Exhibit 4: USD Bonds Outstanding by Issue Year (USD Bn)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Ex4_Hyperscaler_Bonds!$B$8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rgbClr val="0051A2"/>
            </a:solidFill>
            <a:ln>
              <a:prstDash val="solid"/>
            </a:ln>
          </c:spPr>
          <c:invertIfNegative val="1"/>
          <c:cat>
            <c:strRef>
              <c:f>Ex4_Hyperscaler_Bonds!$A$9:$A$10</c:f>
              <c:strCache>
                <c:ptCount val="2"/>
                <c:pt idx="0">
                  <c:v>2025</c:v>
                </c:pt>
                <c:pt idx="1">
                  <c:v>2026 YTD</c:v>
                </c:pt>
              </c:strCache>
            </c:strRef>
          </c:cat>
          <c:val>
            <c:numRef>
              <c:f>Ex4_Hyperscaler_Bonds!$B$9:$B$10</c:f>
              <c:numCache>
                <c:formatCode>0.00</c:formatCode>
                <c:ptCount val="2"/>
                <c:pt idx="0">
                  <c:v>15</c:v>
                </c:pt>
                <c:pt idx="1">
                  <c:v>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CF3-B940-8197-1A3DBA5BA7BB}"/>
            </c:ext>
          </c:extLst>
        </c:ser>
        <c:ser>
          <c:idx val="1"/>
          <c:order val="1"/>
          <c:tx>
            <c:strRef>
              <c:f>Ex4_Hyperscaler_Bonds!$C$8</c:f>
              <c:strCache>
                <c:ptCount val="1"/>
                <c:pt idx="0">
                  <c:v>Alphabet</c:v>
                </c:pt>
              </c:strCache>
            </c:strRef>
          </c:tx>
          <c:spPr>
            <a:solidFill>
              <a:srgbClr val="002060"/>
            </a:solidFill>
            <a:ln>
              <a:prstDash val="solid"/>
            </a:ln>
          </c:spPr>
          <c:invertIfNegative val="1"/>
          <c:cat>
            <c:strRef>
              <c:f>Ex4_Hyperscaler_Bonds!$A$9:$A$10</c:f>
              <c:strCache>
                <c:ptCount val="2"/>
                <c:pt idx="0">
                  <c:v>2025</c:v>
                </c:pt>
                <c:pt idx="1">
                  <c:v>2026 YTD</c:v>
                </c:pt>
              </c:strCache>
            </c:strRef>
          </c:cat>
          <c:val>
            <c:numRef>
              <c:f>Ex4_Hyperscaler_Bonds!$C$9:$C$10</c:f>
              <c:numCache>
                <c:formatCode>0.00</c:formatCode>
                <c:ptCount val="2"/>
                <c:pt idx="0">
                  <c:v>22.5</c:v>
                </c:pt>
                <c:pt idx="1">
                  <c:v>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CF3-B940-8197-1A3DBA5BA7BB}"/>
            </c:ext>
          </c:extLst>
        </c:ser>
        <c:ser>
          <c:idx val="2"/>
          <c:order val="2"/>
          <c:tx>
            <c:strRef>
              <c:f>Ex4_Hyperscaler_Bonds!$D$8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Ex4_Hyperscaler_Bonds!$A$9:$A$10</c:f>
              <c:strCache>
                <c:ptCount val="2"/>
                <c:pt idx="0">
                  <c:v>2025</c:v>
                </c:pt>
                <c:pt idx="1">
                  <c:v>2026 YTD</c:v>
                </c:pt>
              </c:strCache>
            </c:strRef>
          </c:cat>
          <c:val>
            <c:numRef>
              <c:f>Ex4_Hyperscaler_Bonds!$D$9:$D$10</c:f>
              <c:numCache>
                <c:formatCode>0.00</c:formatCode>
                <c:ptCount val="2"/>
                <c:pt idx="0">
                  <c:v>30</c:v>
                </c:pt>
                <c:pt idx="1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CF3-B940-8197-1A3DBA5BA7BB}"/>
            </c:ext>
          </c:extLst>
        </c:ser>
        <c:ser>
          <c:idx val="3"/>
          <c:order val="3"/>
          <c:tx>
            <c:strRef>
              <c:f>Ex4_Hyperscaler_Bonds!$E$8</c:f>
              <c:strCache>
                <c:ptCount val="1"/>
                <c:pt idx="0">
                  <c:v>Oracle</c:v>
                </c:pt>
              </c:strCache>
            </c:strRef>
          </c:tx>
          <c:spPr>
            <a:solidFill>
              <a:srgbClr val="A5A5A5"/>
            </a:solidFill>
            <a:ln>
              <a:prstDash val="solid"/>
            </a:ln>
          </c:spPr>
          <c:invertIfNegative val="1"/>
          <c:cat>
            <c:strRef>
              <c:f>Ex4_Hyperscaler_Bonds!$A$9:$A$10</c:f>
              <c:strCache>
                <c:ptCount val="2"/>
                <c:pt idx="0">
                  <c:v>2025</c:v>
                </c:pt>
                <c:pt idx="1">
                  <c:v>2026 YTD</c:v>
                </c:pt>
              </c:strCache>
            </c:strRef>
          </c:cat>
          <c:val>
            <c:numRef>
              <c:f>Ex4_Hyperscaler_Bonds!$E$9:$E$10</c:f>
              <c:numCache>
                <c:formatCode>0.00</c:formatCode>
                <c:ptCount val="2"/>
                <c:pt idx="0">
                  <c:v>25.75</c:v>
                </c:pt>
                <c:pt idx="1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CF3-B940-8197-1A3DBA5BA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Exhibit 5: FX Reserves (USD Bn, kiri) vs USD/IDR (kanan)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Ex5_FXR_USDIDR!$B$4</c:f>
              <c:strCache>
                <c:ptCount val="1"/>
                <c:pt idx="0">
                  <c:v>Cadangan devisa (USD bn)</c:v>
                </c:pt>
              </c:strCache>
            </c:strRef>
          </c:tx>
          <c:spPr>
            <a:ln w="28575">
              <a:solidFill>
                <a:srgbClr val="0051A2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Ex5_FXR_USDIDR!$A$5:$A$15</c:f>
              <c:strCache>
                <c:ptCount val="11"/>
                <c:pt idx="0">
                  <c:v>Oct-25</c:v>
                </c:pt>
                <c:pt idx="1">
                  <c:v>Nov-25</c:v>
                </c:pt>
                <c:pt idx="2">
                  <c:v>Dec-25</c:v>
                </c:pt>
                <c:pt idx="3">
                  <c:v>Jan-26</c:v>
                </c:pt>
                <c:pt idx="4">
                  <c:v>Feb-26</c:v>
                </c:pt>
                <c:pt idx="5">
                  <c:v>Mar-26</c:v>
                </c:pt>
                <c:pt idx="6">
                  <c:v>Apr-26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Aug-26</c:v>
                </c:pt>
              </c:strCache>
            </c:strRef>
          </c:cat>
          <c:val>
            <c:numRef>
              <c:f>Ex5_FXR_USDIDR!$B$5:$B$15</c:f>
              <c:numCache>
                <c:formatCode>0.00</c:formatCode>
                <c:ptCount val="11"/>
                <c:pt idx="0">
                  <c:v>149.93260000000001</c:v>
                </c:pt>
                <c:pt idx="1">
                  <c:v>150.06100000000001</c:v>
                </c:pt>
                <c:pt idx="2">
                  <c:v>156.471</c:v>
                </c:pt>
                <c:pt idx="3">
                  <c:v>154.5805</c:v>
                </c:pt>
                <c:pt idx="4">
                  <c:v>151.90119999999999</c:v>
                </c:pt>
                <c:pt idx="5">
                  <c:v>148.15020000000001</c:v>
                </c:pt>
                <c:pt idx="6">
                  <c:v>146.202</c:v>
                </c:pt>
                <c:pt idx="7">
                  <c:v>144.89840000000001</c:v>
                </c:pt>
                <c:pt idx="8">
                  <c:v>145.59360000000001</c:v>
                </c:pt>
                <c:pt idx="9">
                  <c:v>145.34379999999999</c:v>
                </c:pt>
                <c:pt idx="10">
                  <c:v>146.5076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7-1841-B1FF-B6C0DB78C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Ex5_FXR_USDIDR!$C$4</c:f>
              <c:strCache>
                <c:ptCount val="1"/>
                <c:pt idx="0">
                  <c:v>USD/IDR akhir bulan</c:v>
                </c:pt>
              </c:strCache>
            </c:strRef>
          </c:tx>
          <c:spPr>
            <a:ln w="22225">
              <a:solidFill>
                <a:srgbClr val="ED7D31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Ex5_FXR_USDIDR!$C$5:$C$15</c:f>
              <c:numCache>
                <c:formatCode>#,##0</c:formatCode>
                <c:ptCount val="11"/>
                <c:pt idx="0">
                  <c:v>16630</c:v>
                </c:pt>
                <c:pt idx="1">
                  <c:v>16660</c:v>
                </c:pt>
                <c:pt idx="2">
                  <c:v>16690</c:v>
                </c:pt>
                <c:pt idx="3">
                  <c:v>16785</c:v>
                </c:pt>
                <c:pt idx="4">
                  <c:v>16771</c:v>
                </c:pt>
                <c:pt idx="5">
                  <c:v>16995</c:v>
                </c:pt>
                <c:pt idx="6">
                  <c:v>17353</c:v>
                </c:pt>
                <c:pt idx="7">
                  <c:v>17874</c:v>
                </c:pt>
                <c:pt idx="8">
                  <c:v>17882</c:v>
                </c:pt>
                <c:pt idx="9">
                  <c:v>18000</c:v>
                </c:pt>
                <c:pt idx="10">
                  <c:v>17720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17-1841-B1FF-B6C0DB78C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60"/>
          <c:min val="14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USD bn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8400"/>
          <c:min val="16400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USD/IDR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Exhibit 6: Indonesia Trade Balance (USD Bn)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51A2"/>
            </a:solidFill>
            <a:ln>
              <a:prstDash val="solid"/>
            </a:ln>
          </c:spPr>
          <c:invertIfNegative val="1"/>
          <c:cat>
            <c:strRef>
              <c:f>Ex6_Trade_Balance!$D$28:$D$39</c:f>
              <c:strCache>
                <c:ptCount val="12"/>
                <c:pt idx="0">
                  <c:v>Sep-25</c:v>
                </c:pt>
                <c:pt idx="1">
                  <c:v>Oct-25</c:v>
                </c:pt>
                <c:pt idx="2">
                  <c:v>Nov-25</c:v>
                </c:pt>
                <c:pt idx="3">
                  <c:v>Dec-25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</c:strCache>
            </c:strRef>
          </c:cat>
          <c:val>
            <c:numRef>
              <c:f>Ex6_Trade_Balance!$C$28:$C$39</c:f>
              <c:numCache>
                <c:formatCode>0.00</c:formatCode>
                <c:ptCount val="12"/>
                <c:pt idx="0">
                  <c:v>4.1980000000000004</c:v>
                </c:pt>
                <c:pt idx="1">
                  <c:v>2.3738000000000001</c:v>
                </c:pt>
                <c:pt idx="2">
                  <c:v>2.7049000000000003</c:v>
                </c:pt>
                <c:pt idx="3">
                  <c:v>2.5190999999999999</c:v>
                </c:pt>
                <c:pt idx="4">
                  <c:v>0.95429999999999993</c:v>
                </c:pt>
                <c:pt idx="5">
                  <c:v>1.2732999999999999</c:v>
                </c:pt>
                <c:pt idx="6">
                  <c:v>3.3210000000000002</c:v>
                </c:pt>
                <c:pt idx="7">
                  <c:v>8.9099999999999999E-2</c:v>
                </c:pt>
                <c:pt idx="8">
                  <c:v>-1.6102000000000001</c:v>
                </c:pt>
                <c:pt idx="9">
                  <c:v>-0.45050000000000001</c:v>
                </c:pt>
                <c:pt idx="10">
                  <c:v>0.12190000000000001</c:v>
                </c:pt>
                <c:pt idx="11">
                  <c:v>3.5522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7D-AA4C-BDB2-58F471B8A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19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</xdr:row>
      <xdr:rowOff>0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tabSelected="1" workbookViewId="0"/>
  </sheetViews>
  <sheetFormatPr baseColWidth="10" defaultColWidth="8.83203125" defaultRowHeight="15" x14ac:dyDescent="0.2"/>
  <cols>
    <col min="1" max="1" width="24" customWidth="1"/>
    <col min="2" max="2" width="130" customWidth="1"/>
  </cols>
  <sheetData>
    <row r="1" spans="1:2" ht="18" x14ac:dyDescent="0.2">
      <c r="A1" s="1" t="s">
        <v>0</v>
      </c>
    </row>
    <row r="2" spans="1:2" x14ac:dyDescent="0.2">
      <c r="A2" s="2" t="s">
        <v>1</v>
      </c>
    </row>
    <row r="4" spans="1:2" x14ac:dyDescent="0.2">
      <c r="A4" s="3" t="s">
        <v>2</v>
      </c>
      <c r="B4" s="4"/>
    </row>
    <row r="5" spans="1:2" x14ac:dyDescent="0.2">
      <c r="A5" s="5" t="s">
        <v>3</v>
      </c>
      <c r="B5" s="4" t="s">
        <v>4</v>
      </c>
    </row>
    <row r="6" spans="1:2" x14ac:dyDescent="0.2">
      <c r="A6" s="6" t="s">
        <v>5</v>
      </c>
      <c r="B6" s="4" t="s">
        <v>6</v>
      </c>
    </row>
    <row r="7" spans="1:2" x14ac:dyDescent="0.2">
      <c r="A7" s="7" t="s">
        <v>7</v>
      </c>
      <c r="B7" s="4" t="s">
        <v>8</v>
      </c>
    </row>
    <row r="8" spans="1:2" x14ac:dyDescent="0.2">
      <c r="A8" s="8" t="s">
        <v>9</v>
      </c>
      <c r="B8" s="4" t="s">
        <v>10</v>
      </c>
    </row>
    <row r="9" spans="1:2" x14ac:dyDescent="0.2">
      <c r="A9" s="4"/>
      <c r="B9" s="4"/>
    </row>
    <row r="10" spans="1:2" x14ac:dyDescent="0.2">
      <c r="A10" s="3" t="s">
        <v>11</v>
      </c>
      <c r="B10" s="4" t="s">
        <v>12</v>
      </c>
    </row>
    <row r="11" spans="1:2" x14ac:dyDescent="0.2">
      <c r="A11" s="3" t="s">
        <v>13</v>
      </c>
      <c r="B11" s="4" t="s">
        <v>14</v>
      </c>
    </row>
    <row r="12" spans="1:2" x14ac:dyDescent="0.2">
      <c r="A12" s="3" t="s">
        <v>15</v>
      </c>
      <c r="B12" s="4" t="s">
        <v>16</v>
      </c>
    </row>
    <row r="13" spans="1:2" x14ac:dyDescent="0.2">
      <c r="A13" s="3" t="s">
        <v>17</v>
      </c>
      <c r="B13" s="4" t="s">
        <v>18</v>
      </c>
    </row>
    <row r="14" spans="1:2" x14ac:dyDescent="0.2">
      <c r="A14" s="3" t="s">
        <v>19</v>
      </c>
      <c r="B14" s="4" t="s">
        <v>20</v>
      </c>
    </row>
    <row r="15" spans="1:2" x14ac:dyDescent="0.2">
      <c r="A15" s="3" t="s">
        <v>21</v>
      </c>
      <c r="B15" s="4" t="s">
        <v>22</v>
      </c>
    </row>
    <row r="16" spans="1:2" x14ac:dyDescent="0.2">
      <c r="A16" s="3" t="s">
        <v>23</v>
      </c>
      <c r="B16" s="4" t="s">
        <v>24</v>
      </c>
    </row>
    <row r="17" spans="1:2" x14ac:dyDescent="0.2">
      <c r="A17" s="3" t="s">
        <v>25</v>
      </c>
      <c r="B17" s="4" t="s">
        <v>26</v>
      </c>
    </row>
    <row r="18" spans="1:2" x14ac:dyDescent="0.2">
      <c r="A18" s="3" t="s">
        <v>27</v>
      </c>
      <c r="B18" s="4" t="s">
        <v>28</v>
      </c>
    </row>
    <row r="19" spans="1:2" x14ac:dyDescent="0.2">
      <c r="A19" s="3" t="s">
        <v>29</v>
      </c>
      <c r="B19" s="4" t="s">
        <v>30</v>
      </c>
    </row>
    <row r="20" spans="1:2" x14ac:dyDescent="0.2">
      <c r="A20" s="4"/>
      <c r="B20" s="4"/>
    </row>
    <row r="21" spans="1:2" x14ac:dyDescent="0.2">
      <c r="A21" s="3" t="s">
        <v>31</v>
      </c>
      <c r="B21" s="4" t="s">
        <v>32</v>
      </c>
    </row>
    <row r="22" spans="1:2" x14ac:dyDescent="0.2">
      <c r="A22" s="4"/>
      <c r="B22" s="4" t="s">
        <v>33</v>
      </c>
    </row>
    <row r="23" spans="1:2" x14ac:dyDescent="0.2">
      <c r="A23" s="4"/>
      <c r="B23" s="4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showGridLines="0" workbookViewId="0"/>
  </sheetViews>
  <sheetFormatPr baseColWidth="10" defaultColWidth="8.83203125" defaultRowHeight="15" x14ac:dyDescent="0.2"/>
  <cols>
    <col min="1" max="1" width="10" customWidth="1"/>
    <col min="2" max="2" width="13" customWidth="1"/>
    <col min="3" max="10" width="9" customWidth="1"/>
    <col min="11" max="11" width="11" customWidth="1"/>
    <col min="12" max="12" width="14" customWidth="1"/>
    <col min="13" max="13" width="16" customWidth="1"/>
  </cols>
  <sheetData>
    <row r="1" spans="1:13" ht="18" x14ac:dyDescent="0.2">
      <c r="A1" s="1" t="s">
        <v>35</v>
      </c>
    </row>
    <row r="2" spans="1:13" x14ac:dyDescent="0.2">
      <c r="A2" s="2" t="s">
        <v>36</v>
      </c>
    </row>
    <row r="4" spans="1:13" x14ac:dyDescent="0.2">
      <c r="A4" s="3" t="s">
        <v>37</v>
      </c>
      <c r="C4" s="9">
        <v>3.875</v>
      </c>
      <c r="D4" s="9">
        <v>4.125</v>
      </c>
      <c r="E4" s="9">
        <v>4.375</v>
      </c>
      <c r="F4" s="9">
        <v>4.625</v>
      </c>
      <c r="G4" s="9">
        <v>4.875</v>
      </c>
      <c r="H4" s="9">
        <v>5.125</v>
      </c>
      <c r="I4" s="9">
        <v>5.375</v>
      </c>
      <c r="J4" s="9">
        <v>5.625</v>
      </c>
    </row>
    <row r="5" spans="1:13" ht="28" x14ac:dyDescent="0.2">
      <c r="A5" s="10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44</v>
      </c>
      <c r="H5" s="10" t="s">
        <v>45</v>
      </c>
      <c r="I5" s="10" t="s">
        <v>46</v>
      </c>
      <c r="J5" s="10" t="s">
        <v>47</v>
      </c>
      <c r="K5" s="10" t="s">
        <v>48</v>
      </c>
      <c r="L5" s="10" t="s">
        <v>49</v>
      </c>
      <c r="M5" s="10" t="s">
        <v>50</v>
      </c>
    </row>
    <row r="6" spans="1:13" x14ac:dyDescent="0.2">
      <c r="A6" s="11" t="s">
        <v>51</v>
      </c>
      <c r="B6" s="12">
        <v>46323</v>
      </c>
      <c r="C6" s="13">
        <v>0.79500000000000004</v>
      </c>
      <c r="D6" s="13">
        <v>0.20499999999999999</v>
      </c>
      <c r="K6" s="14">
        <f t="shared" ref="K6:K15" si="0">SUM(C6:J6)</f>
        <v>1</v>
      </c>
      <c r="L6" s="14">
        <f t="shared" ref="L6:L15" si="1">SUM(D6:J6)</f>
        <v>0.20499999999999999</v>
      </c>
      <c r="M6" s="15">
        <f t="shared" ref="M6:M15" si="2">SUMPRODUCT(C6:J6,$C$4:$J$4)/K6</f>
        <v>3.92625</v>
      </c>
    </row>
    <row r="7" spans="1:13" x14ac:dyDescent="0.2">
      <c r="A7" s="11" t="s">
        <v>52</v>
      </c>
      <c r="B7" s="12">
        <v>46365</v>
      </c>
      <c r="C7" s="13">
        <v>0.183</v>
      </c>
      <c r="D7" s="13">
        <v>0.65900000000000003</v>
      </c>
      <c r="E7" s="13">
        <v>0.158</v>
      </c>
      <c r="K7" s="14">
        <f t="shared" si="0"/>
        <v>1</v>
      </c>
      <c r="L7" s="16">
        <f t="shared" si="1"/>
        <v>0.81700000000000006</v>
      </c>
      <c r="M7" s="15">
        <f t="shared" si="2"/>
        <v>4.1187500000000004</v>
      </c>
    </row>
    <row r="8" spans="1:13" x14ac:dyDescent="0.2">
      <c r="A8" s="11" t="s">
        <v>53</v>
      </c>
      <c r="B8" s="12">
        <v>46414</v>
      </c>
      <c r="C8" s="13">
        <v>0.112</v>
      </c>
      <c r="D8" s="13">
        <v>0.47299999999999998</v>
      </c>
      <c r="E8" s="13">
        <v>0.35299999999999998</v>
      </c>
      <c r="F8" s="13">
        <v>6.2E-2</v>
      </c>
      <c r="K8" s="14">
        <f t="shared" si="0"/>
        <v>1</v>
      </c>
      <c r="L8" s="14">
        <f t="shared" si="1"/>
        <v>0.8879999999999999</v>
      </c>
      <c r="M8" s="17">
        <f t="shared" si="2"/>
        <v>4.2162499999999996</v>
      </c>
    </row>
    <row r="9" spans="1:13" x14ac:dyDescent="0.2">
      <c r="A9" s="11" t="s">
        <v>54</v>
      </c>
      <c r="B9" s="12">
        <v>46463</v>
      </c>
      <c r="C9" s="13">
        <v>3.4000000000000002E-2</v>
      </c>
      <c r="D9" s="13">
        <v>0.222</v>
      </c>
      <c r="E9" s="13">
        <v>0.43700000000000011</v>
      </c>
      <c r="F9" s="13">
        <v>0.26400000000000001</v>
      </c>
      <c r="G9" s="13">
        <v>4.2999999999999997E-2</v>
      </c>
      <c r="K9" s="14">
        <f t="shared" si="0"/>
        <v>1</v>
      </c>
      <c r="L9" s="14">
        <f t="shared" si="1"/>
        <v>0.96600000000000019</v>
      </c>
      <c r="M9" s="17">
        <f t="shared" si="2"/>
        <v>4.3900000000000006</v>
      </c>
    </row>
    <row r="10" spans="1:13" x14ac:dyDescent="0.2">
      <c r="A10" s="11" t="s">
        <v>55</v>
      </c>
      <c r="B10" s="12">
        <v>46505</v>
      </c>
      <c r="C10" s="13">
        <v>2.1000000000000001E-2</v>
      </c>
      <c r="D10" s="13">
        <v>0.15</v>
      </c>
      <c r="E10" s="13">
        <v>0.35399999999999998</v>
      </c>
      <c r="F10" s="13">
        <v>0.33100000000000002</v>
      </c>
      <c r="G10" s="13">
        <v>0.128</v>
      </c>
      <c r="H10" s="13">
        <v>1.6E-2</v>
      </c>
      <c r="K10" s="14">
        <f t="shared" si="0"/>
        <v>0.99999999999999989</v>
      </c>
      <c r="L10" s="14">
        <f t="shared" si="1"/>
        <v>0.97899999999999998</v>
      </c>
      <c r="M10" s="17">
        <f t="shared" si="2"/>
        <v>4.4857500000000003</v>
      </c>
    </row>
    <row r="11" spans="1:13" x14ac:dyDescent="0.2">
      <c r="A11" s="11" t="s">
        <v>56</v>
      </c>
      <c r="B11" s="12">
        <v>46547</v>
      </c>
      <c r="C11" s="13">
        <v>1.0999999999999999E-2</v>
      </c>
      <c r="D11" s="13">
        <v>9.1999999999999998E-2</v>
      </c>
      <c r="E11" s="13">
        <v>0.26200000000000001</v>
      </c>
      <c r="F11" s="13">
        <v>0.34100000000000003</v>
      </c>
      <c r="G11" s="13">
        <v>0.22</v>
      </c>
      <c r="H11" s="13">
        <v>6.7000000000000004E-2</v>
      </c>
      <c r="I11" s="13">
        <v>6.9999999999999993E-3</v>
      </c>
      <c r="K11" s="14">
        <f t="shared" si="0"/>
        <v>0.99999999999999989</v>
      </c>
      <c r="L11" s="14">
        <f t="shared" si="1"/>
        <v>0.98899999999999999</v>
      </c>
      <c r="M11" s="17">
        <f t="shared" si="2"/>
        <v>4.5990000000000011</v>
      </c>
    </row>
    <row r="12" spans="1:13" x14ac:dyDescent="0.2">
      <c r="A12" s="11" t="s">
        <v>57</v>
      </c>
      <c r="B12" s="12">
        <v>46596</v>
      </c>
      <c r="C12" s="13">
        <v>9.0000000000000011E-3</v>
      </c>
      <c r="D12" s="13">
        <v>7.5999999999999998E-2</v>
      </c>
      <c r="E12" s="13">
        <v>0.23</v>
      </c>
      <c r="F12" s="13">
        <v>0.32600000000000001</v>
      </c>
      <c r="G12" s="13">
        <v>0.24299999999999999</v>
      </c>
      <c r="H12" s="13">
        <v>9.6000000000000002E-2</v>
      </c>
      <c r="I12" s="13">
        <v>1.9E-2</v>
      </c>
      <c r="J12" s="13">
        <v>1E-3</v>
      </c>
      <c r="K12" s="14">
        <f t="shared" si="0"/>
        <v>1</v>
      </c>
      <c r="L12" s="14">
        <f t="shared" si="1"/>
        <v>0.99099999999999999</v>
      </c>
      <c r="M12" s="17">
        <f t="shared" si="2"/>
        <v>4.6467500000000008</v>
      </c>
    </row>
    <row r="13" spans="1:13" x14ac:dyDescent="0.2">
      <c r="A13" s="11" t="s">
        <v>58</v>
      </c>
      <c r="B13" s="12">
        <v>46645</v>
      </c>
      <c r="C13" s="13">
        <v>8.0000000000000002E-3</v>
      </c>
      <c r="D13" s="13">
        <v>6.5000000000000002E-2</v>
      </c>
      <c r="E13" s="13">
        <v>0.20499999999999999</v>
      </c>
      <c r="F13" s="13">
        <v>0.31</v>
      </c>
      <c r="G13" s="13">
        <v>0.25600000000000001</v>
      </c>
      <c r="H13" s="13">
        <v>0.12</v>
      </c>
      <c r="I13" s="13">
        <v>3.1E-2</v>
      </c>
      <c r="J13" s="13">
        <v>4.0000000000000001E-3</v>
      </c>
      <c r="K13" s="14">
        <f t="shared" si="0"/>
        <v>0.99900000000000011</v>
      </c>
      <c r="L13" s="14">
        <f t="shared" si="1"/>
        <v>0.9910000000000001</v>
      </c>
      <c r="M13" s="17">
        <f t="shared" si="2"/>
        <v>4.686561561561561</v>
      </c>
    </row>
    <row r="14" spans="1:13" x14ac:dyDescent="0.2">
      <c r="A14" s="11" t="s">
        <v>59</v>
      </c>
      <c r="B14" s="12">
        <v>46687</v>
      </c>
      <c r="C14" s="13">
        <v>6.9999999999999993E-3</v>
      </c>
      <c r="D14" s="13">
        <v>6.3E-2</v>
      </c>
      <c r="E14" s="13">
        <v>0.19800000000000001</v>
      </c>
      <c r="F14" s="13">
        <v>0.30599999999999999</v>
      </c>
      <c r="G14" s="13">
        <v>0.25900000000000001</v>
      </c>
      <c r="H14" s="13">
        <v>0.126</v>
      </c>
      <c r="I14" s="13">
        <v>3.5000000000000003E-2</v>
      </c>
      <c r="J14" s="13">
        <v>5.0000000000000001E-3</v>
      </c>
      <c r="K14" s="14">
        <f t="shared" si="0"/>
        <v>0.99900000000000011</v>
      </c>
      <c r="L14" s="14">
        <f t="shared" si="1"/>
        <v>0.99199999999999999</v>
      </c>
      <c r="M14" s="17">
        <f t="shared" si="2"/>
        <v>4.6978228228228227</v>
      </c>
    </row>
    <row r="15" spans="1:13" x14ac:dyDescent="0.2">
      <c r="A15" s="11" t="s">
        <v>60</v>
      </c>
      <c r="B15" s="12">
        <v>46729</v>
      </c>
      <c r="C15" s="13">
        <v>1.0999999999999999E-2</v>
      </c>
      <c r="D15" s="13">
        <v>7.2000000000000008E-2</v>
      </c>
      <c r="E15" s="13">
        <v>0.20499999999999999</v>
      </c>
      <c r="F15" s="13">
        <v>0.30199999999999999</v>
      </c>
      <c r="G15" s="13">
        <v>0.25</v>
      </c>
      <c r="H15" s="13">
        <v>0.12</v>
      </c>
      <c r="I15" s="13">
        <v>3.3000000000000002E-2</v>
      </c>
      <c r="J15" s="13">
        <v>5.0000000000000001E-3</v>
      </c>
      <c r="K15" s="14">
        <f t="shared" si="0"/>
        <v>0.998</v>
      </c>
      <c r="L15" s="14">
        <f t="shared" si="1"/>
        <v>0.98699999999999999</v>
      </c>
      <c r="M15" s="15">
        <f t="shared" si="2"/>
        <v>4.6818637274549095</v>
      </c>
    </row>
    <row r="17" spans="1:1" x14ac:dyDescent="0.2">
      <c r="A17" s="2" t="s">
        <v>61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4"/>
  <sheetViews>
    <sheetView showGridLines="0" workbookViewId="0"/>
  </sheetViews>
  <sheetFormatPr baseColWidth="10" defaultColWidth="8.83203125" defaultRowHeight="15" x14ac:dyDescent="0.2"/>
  <cols>
    <col min="1" max="1" width="12" customWidth="1"/>
    <col min="2" max="2" width="13" customWidth="1"/>
    <col min="3" max="3" width="16" customWidth="1"/>
    <col min="4" max="4" width="12" customWidth="1"/>
    <col min="5" max="5" width="11" customWidth="1"/>
    <col min="7" max="7" width="26" customWidth="1"/>
    <col min="8" max="9" width="13" customWidth="1"/>
    <col min="10" max="10" width="14" customWidth="1"/>
    <col min="11" max="12" width="16" customWidth="1"/>
    <col min="13" max="13" width="13" customWidth="1"/>
  </cols>
  <sheetData>
    <row r="1" spans="1:13" ht="18" x14ac:dyDescent="0.2">
      <c r="A1" s="1" t="s">
        <v>62</v>
      </c>
    </row>
    <row r="2" spans="1:13" x14ac:dyDescent="0.2">
      <c r="A2" s="2" t="s">
        <v>63</v>
      </c>
    </row>
    <row r="4" spans="1:13" ht="28" x14ac:dyDescent="0.2">
      <c r="A4" s="10" t="s">
        <v>64</v>
      </c>
      <c r="B4" s="10" t="s">
        <v>65</v>
      </c>
      <c r="C4" s="10" t="s">
        <v>66</v>
      </c>
      <c r="D4" s="10" t="s">
        <v>67</v>
      </c>
      <c r="E4" s="10" t="s">
        <v>68</v>
      </c>
      <c r="G4" s="10" t="s">
        <v>69</v>
      </c>
      <c r="H4" s="10" t="s">
        <v>70</v>
      </c>
      <c r="I4" s="10" t="s">
        <v>71</v>
      </c>
      <c r="J4" s="10" t="s">
        <v>72</v>
      </c>
      <c r="K4" s="10" t="s">
        <v>73</v>
      </c>
      <c r="L4" s="10" t="s">
        <v>74</v>
      </c>
      <c r="M4" s="10" t="s">
        <v>75</v>
      </c>
    </row>
    <row r="5" spans="1:13" x14ac:dyDescent="0.2">
      <c r="A5" s="12">
        <v>46022</v>
      </c>
      <c r="B5" s="18">
        <v>4.1669999999999998</v>
      </c>
      <c r="C5" s="18">
        <v>0.74780000000000002</v>
      </c>
      <c r="D5" s="18">
        <v>3.4729999999999999</v>
      </c>
      <c r="E5" s="19">
        <f t="shared" ref="E5:E36" si="0">IF(OR(B5="",D5=""),"",(B5-D5)*100)</f>
        <v>69.399999999999991</v>
      </c>
      <c r="G5" s="20" t="s">
        <v>76</v>
      </c>
      <c r="H5" s="12">
        <v>46290</v>
      </c>
      <c r="I5" s="12">
        <v>46297</v>
      </c>
      <c r="J5" s="15">
        <f>(INDEX($B$5:$B$194,MATCH(I5,$A$5:$A$194,0))-INDEX($B$5:$B$194,MATCH(H5,$A$5:$A$194,0)))*100</f>
        <v>11.019999999999985</v>
      </c>
      <c r="K5" s="15">
        <f>(INDEX($C$5:$C$194,MATCH(I5,$A$5:$A$194,0))-INDEX($C$5:$C$194,MATCH(H5,$A$5:$A$194,0)))*100</f>
        <v>14.219999999999999</v>
      </c>
      <c r="L5" s="15">
        <f>J5-K5</f>
        <v>-3.2000000000000135</v>
      </c>
      <c r="M5" s="15">
        <f>(INDEX($D$5:$D$194,MATCH(I5,$A$5:$A$194,0))-INDEX($D$5:$D$194,MATCH(H5,$A$5:$A$194,0)))*100</f>
        <v>-2.6900000000000368</v>
      </c>
    </row>
    <row r="6" spans="1:13" x14ac:dyDescent="0.2">
      <c r="A6" s="12">
        <v>46024</v>
      </c>
      <c r="B6" s="18">
        <v>4.1906999999999996</v>
      </c>
      <c r="C6" s="18">
        <v>0.79010000000000002</v>
      </c>
      <c r="D6" s="18">
        <v>3.4733000000000001</v>
      </c>
      <c r="E6" s="19">
        <f t="shared" si="0"/>
        <v>71.739999999999952</v>
      </c>
      <c r="G6" s="20" t="s">
        <v>77</v>
      </c>
      <c r="H6" s="12">
        <v>46293</v>
      </c>
      <c r="I6" s="12">
        <v>46297</v>
      </c>
      <c r="J6" s="17">
        <f>(INDEX($B$5:$B$194,MATCH(I6,$A$5:$A$194,0))-INDEX($B$5:$B$194,MATCH(H6,$A$5:$A$194,0)))*100</f>
        <v>3.4499999999999531</v>
      </c>
      <c r="K6" s="17">
        <f>(INDEX($C$5:$C$194,MATCH(I6,$A$5:$A$194,0))-INDEX($C$5:$C$194,MATCH(H6,$A$5:$A$194,0)))*100</f>
        <v>12.4</v>
      </c>
      <c r="L6" s="17">
        <f>J6-K6</f>
        <v>-8.9500000000000473</v>
      </c>
      <c r="M6" s="17">
        <f>(INDEX($D$5:$D$194,MATCH(I6,$A$5:$A$194,0))-INDEX($D$5:$D$194,MATCH(H6,$A$5:$A$194,0)))*100</f>
        <v>-10.580000000000034</v>
      </c>
    </row>
    <row r="7" spans="1:13" x14ac:dyDescent="0.2">
      <c r="A7" s="12">
        <v>46027</v>
      </c>
      <c r="B7" s="18">
        <v>4.1612</v>
      </c>
      <c r="C7" s="18">
        <v>0.77580000000000005</v>
      </c>
      <c r="D7" s="18">
        <v>3.4508000000000001</v>
      </c>
      <c r="E7" s="19">
        <f t="shared" si="0"/>
        <v>71.039999999999992</v>
      </c>
      <c r="G7" s="20" t="s">
        <v>78</v>
      </c>
      <c r="H7" s="12">
        <v>46203</v>
      </c>
      <c r="I7" s="12">
        <v>46297</v>
      </c>
      <c r="J7" s="15">
        <f>(INDEX($B$5:$B$194,MATCH(I7,$A$5:$A$194,0))-INDEX($B$5:$B$194,MATCH(H7,$A$5:$A$194,0)))*100</f>
        <v>80.539999999999964</v>
      </c>
      <c r="K7" s="15">
        <f>(INDEX($C$5:$C$194,MATCH(I7,$A$5:$A$194,0))-INDEX($C$5:$C$194,MATCH(H7,$A$5:$A$194,0)))*100</f>
        <v>40.75</v>
      </c>
      <c r="L7" s="17">
        <f>J7-K7</f>
        <v>39.789999999999964</v>
      </c>
      <c r="M7" s="17">
        <f>(INDEX($D$5:$D$194,MATCH(I7,$A$5:$A$194,0))-INDEX($D$5:$D$194,MATCH(H7,$A$5:$A$194,0)))*100</f>
        <v>65.240000000000009</v>
      </c>
    </row>
    <row r="8" spans="1:13" x14ac:dyDescent="0.2">
      <c r="A8" s="12">
        <v>46028</v>
      </c>
      <c r="B8" s="18">
        <v>4.173</v>
      </c>
      <c r="C8" s="18">
        <v>0.78359999999999996</v>
      </c>
      <c r="D8" s="18">
        <v>3.4632000000000001</v>
      </c>
      <c r="E8" s="19">
        <f t="shared" si="0"/>
        <v>70.98</v>
      </c>
      <c r="G8" s="20" t="s">
        <v>79</v>
      </c>
      <c r="H8" s="12">
        <v>46022</v>
      </c>
      <c r="I8" s="12">
        <v>46297</v>
      </c>
      <c r="J8" s="15">
        <f>(INDEX($B$5:$B$194,MATCH(I8,$A$5:$A$194,0))-INDEX($B$5:$B$194,MATCH(H8,$A$5:$A$194,0)))*100</f>
        <v>110.36000000000001</v>
      </c>
      <c r="K8" s="15">
        <f>(INDEX($C$5:$C$194,MATCH(I8,$A$5:$A$194,0))-INDEX($C$5:$C$194,MATCH(H8,$A$5:$A$194,0)))*100</f>
        <v>16.589999999999993</v>
      </c>
      <c r="L8" s="17">
        <f>J8-K8</f>
        <v>93.770000000000024</v>
      </c>
      <c r="M8" s="17">
        <f>(INDEX($D$5:$D$194,MATCH(I8,$A$5:$A$194,0))-INDEX($D$5:$D$194,MATCH(H8,$A$5:$A$194,0)))*100</f>
        <v>135.17000000000002</v>
      </c>
    </row>
    <row r="9" spans="1:13" x14ac:dyDescent="0.2">
      <c r="A9" s="12">
        <v>46029</v>
      </c>
      <c r="B9" s="18">
        <v>4.1475</v>
      </c>
      <c r="C9" s="18">
        <v>0.73099999999999998</v>
      </c>
      <c r="D9" s="18">
        <v>3.4695</v>
      </c>
      <c r="E9" s="19">
        <f t="shared" si="0"/>
        <v>67.8</v>
      </c>
    </row>
    <row r="10" spans="1:13" x14ac:dyDescent="0.2">
      <c r="A10" s="12">
        <v>46030</v>
      </c>
      <c r="B10" s="18">
        <v>4.1672000000000002</v>
      </c>
      <c r="C10" s="18">
        <v>0.75309999999999999</v>
      </c>
      <c r="D10" s="18">
        <v>3.4881000000000002</v>
      </c>
      <c r="E10" s="19">
        <f t="shared" si="0"/>
        <v>67.91</v>
      </c>
    </row>
    <row r="11" spans="1:13" x14ac:dyDescent="0.2">
      <c r="A11" s="12">
        <v>46031</v>
      </c>
      <c r="B11" s="18">
        <v>4.1653000000000002</v>
      </c>
      <c r="C11" s="18">
        <v>0.69830000000000003</v>
      </c>
      <c r="D11" s="18">
        <v>3.5320999999999998</v>
      </c>
      <c r="E11" s="19">
        <f t="shared" si="0"/>
        <v>63.320000000000043</v>
      </c>
      <c r="G11" s="10" t="s">
        <v>80</v>
      </c>
      <c r="H11" s="10" t="s">
        <v>64</v>
      </c>
      <c r="I11" s="10"/>
      <c r="J11" s="10" t="s">
        <v>81</v>
      </c>
    </row>
    <row r="12" spans="1:13" x14ac:dyDescent="0.2">
      <c r="A12" s="12">
        <v>46034</v>
      </c>
      <c r="B12" s="18">
        <v>4.1752000000000002</v>
      </c>
      <c r="C12" s="18">
        <v>0.71340000000000003</v>
      </c>
      <c r="D12" s="18">
        <v>3.5343</v>
      </c>
      <c r="E12" s="19">
        <f t="shared" si="0"/>
        <v>64.090000000000032</v>
      </c>
      <c r="G12" s="20" t="s">
        <v>65</v>
      </c>
      <c r="H12" s="12">
        <v>46297</v>
      </c>
      <c r="J12" s="15">
        <f>INDEX($B$5:$B$194,MATCH(H12,$A$5:$A$194,0))</f>
        <v>5.2706</v>
      </c>
    </row>
    <row r="13" spans="1:13" x14ac:dyDescent="0.2">
      <c r="A13" s="12">
        <v>46035</v>
      </c>
      <c r="B13" s="18">
        <v>4.1791999999999998</v>
      </c>
      <c r="C13" s="18">
        <v>0.71160000000000001</v>
      </c>
      <c r="D13" s="18">
        <v>3.5324</v>
      </c>
      <c r="E13" s="19">
        <f t="shared" si="0"/>
        <v>64.679999999999978</v>
      </c>
      <c r="G13" s="20" t="s">
        <v>82</v>
      </c>
      <c r="H13" s="12">
        <v>46297</v>
      </c>
      <c r="J13" s="15">
        <f>INDEX($C$5:$C$194,MATCH(H13,$A$5:$A$194,0))</f>
        <v>0.91369999999999996</v>
      </c>
    </row>
    <row r="14" spans="1:13" x14ac:dyDescent="0.2">
      <c r="A14" s="12">
        <v>46036</v>
      </c>
      <c r="B14" s="18">
        <v>4.1319999999999997</v>
      </c>
      <c r="C14" s="18">
        <v>0.67910000000000004</v>
      </c>
      <c r="D14" s="18">
        <v>3.5097</v>
      </c>
      <c r="E14" s="19">
        <f t="shared" si="0"/>
        <v>62.229999999999961</v>
      </c>
      <c r="G14" s="20" t="s">
        <v>83</v>
      </c>
      <c r="H14" s="12">
        <v>46290</v>
      </c>
      <c r="J14" s="21">
        <f>INDEX($E$5:$E$194,MATCH(H14,$A$5:$A$194,0))</f>
        <v>30.879999999999974</v>
      </c>
    </row>
    <row r="15" spans="1:13" x14ac:dyDescent="0.2">
      <c r="A15" s="12">
        <v>46037</v>
      </c>
      <c r="B15" s="18">
        <v>4.1694000000000004</v>
      </c>
      <c r="C15" s="18">
        <v>0.66020000000000001</v>
      </c>
      <c r="D15" s="18">
        <v>3.5640999999999998</v>
      </c>
      <c r="E15" s="19">
        <f t="shared" si="0"/>
        <v>60.530000000000058</v>
      </c>
      <c r="G15" s="20" t="s">
        <v>84</v>
      </c>
      <c r="H15" s="12">
        <v>46297</v>
      </c>
      <c r="J15" s="21">
        <f>INDEX($E$5:$E$194,MATCH(H15,$A$5:$A$194,0))</f>
        <v>44.589999999999996</v>
      </c>
    </row>
    <row r="16" spans="1:13" x14ac:dyDescent="0.2">
      <c r="A16" s="12">
        <v>46038</v>
      </c>
      <c r="B16" s="18">
        <v>4.2229000000000001</v>
      </c>
      <c r="C16" s="18">
        <v>0.70269999999999999</v>
      </c>
      <c r="D16" s="18">
        <v>3.5859999999999999</v>
      </c>
      <c r="E16" s="19">
        <f t="shared" si="0"/>
        <v>63.690000000000026</v>
      </c>
      <c r="G16" s="20" t="s">
        <v>85</v>
      </c>
      <c r="J16" s="22">
        <f>MAX(C5:C194)</f>
        <v>0.91369999999999996</v>
      </c>
    </row>
    <row r="17" spans="1:7" x14ac:dyDescent="0.2">
      <c r="A17" s="12">
        <v>46042</v>
      </c>
      <c r="B17" s="18">
        <v>4.2925000000000004</v>
      </c>
      <c r="C17" s="18">
        <v>0.80400000000000005</v>
      </c>
      <c r="D17" s="18">
        <v>3.5968</v>
      </c>
      <c r="E17" s="19">
        <f t="shared" si="0"/>
        <v>69.57000000000005</v>
      </c>
      <c r="G17" s="2" t="s">
        <v>86</v>
      </c>
    </row>
    <row r="18" spans="1:7" x14ac:dyDescent="0.2">
      <c r="A18" s="12">
        <v>46043</v>
      </c>
      <c r="B18" s="18">
        <v>4.2427999999999999</v>
      </c>
      <c r="C18" s="18">
        <v>0.76280000000000003</v>
      </c>
      <c r="D18" s="18">
        <v>3.5844999999999998</v>
      </c>
      <c r="E18" s="19">
        <f t="shared" si="0"/>
        <v>65.830000000000013</v>
      </c>
    </row>
    <row r="19" spans="1:7" x14ac:dyDescent="0.2">
      <c r="A19" s="12">
        <v>46044</v>
      </c>
      <c r="B19" s="18">
        <v>4.2449000000000003</v>
      </c>
      <c r="C19" s="18">
        <v>0.72570000000000001</v>
      </c>
      <c r="D19" s="18">
        <v>3.6057999999999999</v>
      </c>
      <c r="E19" s="19">
        <f t="shared" si="0"/>
        <v>63.910000000000046</v>
      </c>
    </row>
    <row r="20" spans="1:7" x14ac:dyDescent="0.2">
      <c r="A20" s="12">
        <v>46045</v>
      </c>
      <c r="B20" s="18">
        <v>4.2252000000000001</v>
      </c>
      <c r="C20" s="18">
        <v>0.70979999999999999</v>
      </c>
      <c r="D20" s="18">
        <v>3.5939999999999999</v>
      </c>
      <c r="E20" s="19">
        <f t="shared" si="0"/>
        <v>63.120000000000019</v>
      </c>
    </row>
    <row r="21" spans="1:7" x14ac:dyDescent="0.2">
      <c r="A21" s="12">
        <v>46048</v>
      </c>
      <c r="B21" s="18">
        <v>4.2112999999999996</v>
      </c>
      <c r="C21" s="18">
        <v>0.68010000000000004</v>
      </c>
      <c r="D21" s="18">
        <v>3.59</v>
      </c>
      <c r="E21" s="19">
        <f t="shared" si="0"/>
        <v>62.129999999999974</v>
      </c>
    </row>
    <row r="22" spans="1:7" x14ac:dyDescent="0.2">
      <c r="A22" s="12">
        <v>46049</v>
      </c>
      <c r="B22" s="18">
        <v>4.2431999999999999</v>
      </c>
      <c r="C22" s="18">
        <v>0.7147</v>
      </c>
      <c r="D22" s="18">
        <v>3.5731000000000002</v>
      </c>
      <c r="E22" s="19">
        <f t="shared" si="0"/>
        <v>67.009999999999962</v>
      </c>
    </row>
    <row r="23" spans="1:7" x14ac:dyDescent="0.2">
      <c r="A23" s="12">
        <v>46050</v>
      </c>
      <c r="B23" s="18">
        <v>4.2431999999999999</v>
      </c>
      <c r="C23" s="18">
        <v>0.73719999999999997</v>
      </c>
      <c r="D23" s="18">
        <v>3.5712000000000002</v>
      </c>
      <c r="E23" s="19">
        <f t="shared" si="0"/>
        <v>67.199999999999974</v>
      </c>
    </row>
    <row r="24" spans="1:7" x14ac:dyDescent="0.2">
      <c r="A24" s="12">
        <v>46051</v>
      </c>
      <c r="B24" s="18">
        <v>4.2313000000000001</v>
      </c>
      <c r="C24" s="18">
        <v>0.75119999999999998</v>
      </c>
      <c r="D24" s="18">
        <v>3.5590999999999999</v>
      </c>
      <c r="E24" s="19">
        <f t="shared" si="0"/>
        <v>67.220000000000013</v>
      </c>
    </row>
    <row r="25" spans="1:7" x14ac:dyDescent="0.2">
      <c r="A25" s="12">
        <v>46052</v>
      </c>
      <c r="B25" s="18">
        <v>4.2355</v>
      </c>
      <c r="C25" s="18">
        <v>0.76219999999999999</v>
      </c>
      <c r="D25" s="18">
        <v>3.5224000000000002</v>
      </c>
      <c r="E25" s="19">
        <f t="shared" si="0"/>
        <v>71.309999999999988</v>
      </c>
    </row>
    <row r="26" spans="1:7" x14ac:dyDescent="0.2">
      <c r="A26" s="12">
        <v>46055</v>
      </c>
      <c r="B26" s="18">
        <v>4.2774000000000001</v>
      </c>
      <c r="C26" s="18">
        <v>0.79310000000000003</v>
      </c>
      <c r="D26" s="18">
        <v>3.5716000000000001</v>
      </c>
      <c r="E26" s="19">
        <f t="shared" si="0"/>
        <v>70.58</v>
      </c>
    </row>
    <row r="27" spans="1:7" x14ac:dyDescent="0.2">
      <c r="A27" s="12">
        <v>46056</v>
      </c>
      <c r="B27" s="18">
        <v>4.2655000000000003</v>
      </c>
      <c r="C27" s="18">
        <v>0.78620000000000001</v>
      </c>
      <c r="D27" s="18">
        <v>3.5695999999999999</v>
      </c>
      <c r="E27" s="19">
        <f t="shared" si="0"/>
        <v>69.590000000000046</v>
      </c>
    </row>
    <row r="28" spans="1:7" x14ac:dyDescent="0.2">
      <c r="A28" s="12">
        <v>46057</v>
      </c>
      <c r="B28" s="18">
        <v>4.2735000000000003</v>
      </c>
      <c r="C28" s="18">
        <v>0.78159999999999996</v>
      </c>
      <c r="D28" s="18">
        <v>3.5531999999999999</v>
      </c>
      <c r="E28" s="19">
        <f t="shared" si="0"/>
        <v>72.030000000000044</v>
      </c>
    </row>
    <row r="29" spans="1:7" x14ac:dyDescent="0.2">
      <c r="A29" s="12">
        <v>46058</v>
      </c>
      <c r="B29" s="18">
        <v>4.1801000000000004</v>
      </c>
      <c r="C29" s="18">
        <v>0.77510000000000001</v>
      </c>
      <c r="D29" s="18">
        <v>3.4504000000000001</v>
      </c>
      <c r="E29" s="19">
        <f t="shared" si="0"/>
        <v>72.970000000000027</v>
      </c>
    </row>
    <row r="30" spans="1:7" x14ac:dyDescent="0.2">
      <c r="A30" s="12">
        <v>46059</v>
      </c>
      <c r="B30" s="18">
        <v>4.2060000000000004</v>
      </c>
      <c r="C30" s="18">
        <v>0.77080000000000004</v>
      </c>
      <c r="D30" s="18">
        <v>3.4975999999999998</v>
      </c>
      <c r="E30" s="19">
        <f t="shared" si="0"/>
        <v>70.84000000000006</v>
      </c>
    </row>
    <row r="31" spans="1:7" x14ac:dyDescent="0.2">
      <c r="A31" s="12">
        <v>46062</v>
      </c>
      <c r="B31" s="18">
        <v>4.2020999999999997</v>
      </c>
      <c r="C31" s="18">
        <v>0.77559999999999996</v>
      </c>
      <c r="D31" s="18">
        <v>3.4851000000000001</v>
      </c>
      <c r="E31" s="19">
        <f t="shared" si="0"/>
        <v>71.69999999999996</v>
      </c>
    </row>
    <row r="32" spans="1:7" x14ac:dyDescent="0.2">
      <c r="A32" s="12">
        <v>46063</v>
      </c>
      <c r="B32" s="18">
        <v>4.1426999999999996</v>
      </c>
      <c r="C32" s="18">
        <v>0.72209999999999996</v>
      </c>
      <c r="D32" s="18">
        <v>3.452</v>
      </c>
      <c r="E32" s="19">
        <f t="shared" si="0"/>
        <v>69.069999999999965</v>
      </c>
    </row>
    <row r="33" spans="1:5" x14ac:dyDescent="0.2">
      <c r="A33" s="12">
        <v>46064</v>
      </c>
      <c r="B33" s="18">
        <v>4.1723999999999997</v>
      </c>
      <c r="C33" s="18">
        <v>0.72919999999999996</v>
      </c>
      <c r="D33" s="18">
        <v>3.5099</v>
      </c>
      <c r="E33" s="19">
        <f t="shared" si="0"/>
        <v>66.249999999999972</v>
      </c>
    </row>
    <row r="34" spans="1:5" x14ac:dyDescent="0.2">
      <c r="A34" s="12">
        <v>46065</v>
      </c>
      <c r="B34" s="18">
        <v>4.0980999999999996</v>
      </c>
      <c r="C34" s="18">
        <v>0.66410000000000002</v>
      </c>
      <c r="D34" s="18">
        <v>3.4559000000000002</v>
      </c>
      <c r="E34" s="19">
        <f t="shared" si="0"/>
        <v>64.219999999999942</v>
      </c>
    </row>
    <row r="35" spans="1:5" x14ac:dyDescent="0.2">
      <c r="A35" s="12">
        <v>46066</v>
      </c>
      <c r="B35" s="18">
        <v>4.0483000000000002</v>
      </c>
      <c r="C35" s="18">
        <v>0.65059999999999996</v>
      </c>
      <c r="D35" s="18">
        <v>3.4076</v>
      </c>
      <c r="E35" s="19">
        <f t="shared" si="0"/>
        <v>64.070000000000022</v>
      </c>
    </row>
    <row r="36" spans="1:5" x14ac:dyDescent="0.2">
      <c r="A36" s="12">
        <v>46070</v>
      </c>
      <c r="B36" s="18">
        <v>4.0578000000000003</v>
      </c>
      <c r="C36" s="18">
        <v>0.62849999999999995</v>
      </c>
      <c r="D36" s="18">
        <v>3.4325000000000001</v>
      </c>
      <c r="E36" s="19">
        <f t="shared" si="0"/>
        <v>62.530000000000015</v>
      </c>
    </row>
    <row r="37" spans="1:5" x14ac:dyDescent="0.2">
      <c r="A37" s="12">
        <v>46071</v>
      </c>
      <c r="B37" s="18">
        <v>4.0827</v>
      </c>
      <c r="C37" s="18">
        <v>0.6512</v>
      </c>
      <c r="D37" s="18">
        <v>3.4594999999999998</v>
      </c>
      <c r="E37" s="19">
        <f t="shared" ref="E37:E68" si="1">IF(OR(B37="",D37=""),"",(B37-D37)*100)</f>
        <v>62.320000000000022</v>
      </c>
    </row>
    <row r="38" spans="1:5" x14ac:dyDescent="0.2">
      <c r="A38" s="12">
        <v>46072</v>
      </c>
      <c r="B38" s="18">
        <v>4.0673000000000004</v>
      </c>
      <c r="C38" s="18">
        <v>0.6391</v>
      </c>
      <c r="D38" s="18">
        <v>3.4573</v>
      </c>
      <c r="E38" s="19">
        <f t="shared" si="1"/>
        <v>61.000000000000028</v>
      </c>
    </row>
    <row r="39" spans="1:5" x14ac:dyDescent="0.2">
      <c r="A39" s="12">
        <v>46073</v>
      </c>
      <c r="B39" s="18">
        <v>4.0826000000000002</v>
      </c>
      <c r="C39" s="18">
        <v>0.64810000000000001</v>
      </c>
      <c r="D39" s="18">
        <v>3.4781</v>
      </c>
      <c r="E39" s="19">
        <f t="shared" si="1"/>
        <v>60.450000000000024</v>
      </c>
    </row>
    <row r="40" spans="1:5" x14ac:dyDescent="0.2">
      <c r="A40" s="12">
        <v>46076</v>
      </c>
      <c r="B40" s="18">
        <v>4.0308999999999999</v>
      </c>
      <c r="C40" s="18">
        <v>0.63080000000000003</v>
      </c>
      <c r="D40" s="18">
        <v>3.4380000000000002</v>
      </c>
      <c r="E40" s="19">
        <f t="shared" si="1"/>
        <v>59.289999999999978</v>
      </c>
    </row>
    <row r="41" spans="1:5" x14ac:dyDescent="0.2">
      <c r="A41" s="12">
        <v>46077</v>
      </c>
      <c r="B41" s="18">
        <v>4.0289999999999999</v>
      </c>
      <c r="C41" s="18">
        <v>0.62219999999999998</v>
      </c>
      <c r="D41" s="18">
        <v>3.4611000000000001</v>
      </c>
      <c r="E41" s="19">
        <f t="shared" si="1"/>
        <v>56.789999999999985</v>
      </c>
    </row>
    <row r="42" spans="1:5" x14ac:dyDescent="0.2">
      <c r="A42" s="12">
        <v>46078</v>
      </c>
      <c r="B42" s="18">
        <v>4.0518999999999998</v>
      </c>
      <c r="C42" s="18">
        <v>0.61309999999999998</v>
      </c>
      <c r="D42" s="18">
        <v>3.4710000000000001</v>
      </c>
      <c r="E42" s="19">
        <f t="shared" si="1"/>
        <v>58.089999999999975</v>
      </c>
    </row>
    <row r="43" spans="1:5" x14ac:dyDescent="0.2">
      <c r="A43" s="12">
        <v>46079</v>
      </c>
      <c r="B43" s="18">
        <v>4.0041000000000002</v>
      </c>
      <c r="C43" s="18">
        <v>0.59540000000000004</v>
      </c>
      <c r="D43" s="18">
        <v>3.4279999999999999</v>
      </c>
      <c r="E43" s="19">
        <f t="shared" si="1"/>
        <v>57.610000000000028</v>
      </c>
    </row>
    <row r="44" spans="1:5" x14ac:dyDescent="0.2">
      <c r="A44" s="12">
        <v>46080</v>
      </c>
      <c r="B44" s="18">
        <v>3.9375</v>
      </c>
      <c r="C44" s="18">
        <v>0.59150000000000003</v>
      </c>
      <c r="D44" s="18">
        <v>3.3748999999999998</v>
      </c>
      <c r="E44" s="19">
        <f t="shared" si="1"/>
        <v>56.260000000000019</v>
      </c>
    </row>
    <row r="45" spans="1:5" x14ac:dyDescent="0.2">
      <c r="A45" s="12">
        <v>46083</v>
      </c>
      <c r="B45" s="18">
        <v>4.0345000000000004</v>
      </c>
      <c r="C45" s="18">
        <v>0.61170000000000002</v>
      </c>
      <c r="D45" s="18">
        <v>3.4752000000000001</v>
      </c>
      <c r="E45" s="19">
        <f t="shared" si="1"/>
        <v>55.930000000000035</v>
      </c>
    </row>
    <row r="46" spans="1:5" x14ac:dyDescent="0.2">
      <c r="A46" s="12">
        <v>46084</v>
      </c>
      <c r="B46" s="18">
        <v>4.0594000000000001</v>
      </c>
      <c r="C46" s="18">
        <v>0.60819999999999996</v>
      </c>
      <c r="D46" s="18">
        <v>3.5081000000000002</v>
      </c>
      <c r="E46" s="19">
        <f t="shared" si="1"/>
        <v>55.129999999999988</v>
      </c>
    </row>
    <row r="47" spans="1:5" x14ac:dyDescent="0.2">
      <c r="A47" s="12">
        <v>46085</v>
      </c>
      <c r="B47" s="18">
        <v>4.0959000000000003</v>
      </c>
      <c r="C47" s="18">
        <v>0.59609999999999996</v>
      </c>
      <c r="D47" s="18">
        <v>3.5472999999999999</v>
      </c>
      <c r="E47" s="19">
        <f t="shared" si="1"/>
        <v>54.860000000000042</v>
      </c>
    </row>
    <row r="48" spans="1:5" x14ac:dyDescent="0.2">
      <c r="A48" s="12">
        <v>46086</v>
      </c>
      <c r="B48" s="18">
        <v>4.1363000000000003</v>
      </c>
      <c r="C48" s="18">
        <v>0.61229999999999996</v>
      </c>
      <c r="D48" s="18">
        <v>3.5764</v>
      </c>
      <c r="E48" s="19">
        <f t="shared" si="1"/>
        <v>55.99000000000003</v>
      </c>
    </row>
    <row r="49" spans="1:5" x14ac:dyDescent="0.2">
      <c r="A49" s="12">
        <v>46087</v>
      </c>
      <c r="B49" s="18">
        <v>4.1383000000000001</v>
      </c>
      <c r="C49" s="18">
        <v>0.64339999999999997</v>
      </c>
      <c r="D49" s="18">
        <v>3.5605000000000002</v>
      </c>
      <c r="E49" s="19">
        <f t="shared" si="1"/>
        <v>57.779999999999987</v>
      </c>
    </row>
    <row r="50" spans="1:5" x14ac:dyDescent="0.2">
      <c r="A50" s="12">
        <v>46090</v>
      </c>
      <c r="B50" s="18">
        <v>4.0957999999999997</v>
      </c>
      <c r="C50" s="18">
        <v>0.61080000000000001</v>
      </c>
      <c r="D50" s="18">
        <v>3.5358999999999998</v>
      </c>
      <c r="E50" s="19">
        <f t="shared" si="1"/>
        <v>55.989999999999981</v>
      </c>
    </row>
    <row r="51" spans="1:5" x14ac:dyDescent="0.2">
      <c r="A51" s="12">
        <v>46091</v>
      </c>
      <c r="B51" s="18">
        <v>4.1557000000000004</v>
      </c>
      <c r="C51" s="18">
        <v>0.62270000000000003</v>
      </c>
      <c r="D51" s="18">
        <v>3.59</v>
      </c>
      <c r="E51" s="19">
        <f t="shared" si="1"/>
        <v>56.57000000000005</v>
      </c>
    </row>
    <row r="52" spans="1:5" x14ac:dyDescent="0.2">
      <c r="A52" s="12">
        <v>46092</v>
      </c>
      <c r="B52" s="18">
        <v>4.2295999999999996</v>
      </c>
      <c r="C52" s="18">
        <v>0.67230000000000001</v>
      </c>
      <c r="D52" s="18">
        <v>3.6526999999999998</v>
      </c>
      <c r="E52" s="19">
        <f t="shared" si="1"/>
        <v>57.689999999999976</v>
      </c>
    </row>
    <row r="53" spans="1:5" x14ac:dyDescent="0.2">
      <c r="A53" s="12">
        <v>46093</v>
      </c>
      <c r="B53" s="18">
        <v>4.2609000000000004</v>
      </c>
      <c r="C53" s="18">
        <v>0.65569999999999995</v>
      </c>
      <c r="D53" s="18">
        <v>3.7406999999999999</v>
      </c>
      <c r="E53" s="19">
        <f t="shared" si="1"/>
        <v>52.020000000000046</v>
      </c>
    </row>
    <row r="54" spans="1:5" x14ac:dyDescent="0.2">
      <c r="A54" s="12">
        <v>46094</v>
      </c>
      <c r="B54" s="18">
        <v>4.2766999999999999</v>
      </c>
      <c r="C54" s="18">
        <v>0.6996</v>
      </c>
      <c r="D54" s="18">
        <v>3.7168999999999999</v>
      </c>
      <c r="E54" s="19">
        <f t="shared" si="1"/>
        <v>55.980000000000004</v>
      </c>
    </row>
    <row r="55" spans="1:5" x14ac:dyDescent="0.2">
      <c r="A55" s="12">
        <v>46097</v>
      </c>
      <c r="B55" s="18">
        <v>4.2160000000000002</v>
      </c>
      <c r="C55" s="18">
        <v>0.66090000000000004</v>
      </c>
      <c r="D55" s="18">
        <v>3.6711</v>
      </c>
      <c r="E55" s="19">
        <f t="shared" si="1"/>
        <v>54.490000000000016</v>
      </c>
    </row>
    <row r="56" spans="1:5" x14ac:dyDescent="0.2">
      <c r="A56" s="12">
        <v>46098</v>
      </c>
      <c r="B56" s="18">
        <v>4.1985000000000001</v>
      </c>
      <c r="C56" s="18">
        <v>0.6411</v>
      </c>
      <c r="D56" s="18">
        <v>3.6736</v>
      </c>
      <c r="E56" s="19">
        <f t="shared" si="1"/>
        <v>52.490000000000016</v>
      </c>
    </row>
    <row r="57" spans="1:5" x14ac:dyDescent="0.2">
      <c r="A57" s="12">
        <v>46099</v>
      </c>
      <c r="B57" s="18">
        <v>4.2649999999999997</v>
      </c>
      <c r="C57" s="18">
        <v>0.6452</v>
      </c>
      <c r="D57" s="18">
        <v>3.7728999999999999</v>
      </c>
      <c r="E57" s="19">
        <f t="shared" si="1"/>
        <v>49.20999999999998</v>
      </c>
    </row>
    <row r="58" spans="1:5" x14ac:dyDescent="0.2">
      <c r="A58" s="12">
        <v>46100</v>
      </c>
      <c r="B58" s="18">
        <v>4.2492999999999999</v>
      </c>
      <c r="C58" s="18">
        <v>0.59</v>
      </c>
      <c r="D58" s="18">
        <v>3.7924000000000002</v>
      </c>
      <c r="E58" s="19">
        <f t="shared" si="1"/>
        <v>45.689999999999962</v>
      </c>
    </row>
    <row r="59" spans="1:5" x14ac:dyDescent="0.2">
      <c r="A59" s="12">
        <v>46101</v>
      </c>
      <c r="B59" s="18">
        <v>4.3795999999999999</v>
      </c>
      <c r="C59" s="18">
        <v>0.71319999999999995</v>
      </c>
      <c r="D59" s="18">
        <v>3.9001000000000001</v>
      </c>
      <c r="E59" s="19">
        <f t="shared" si="1"/>
        <v>47.949999999999982</v>
      </c>
    </row>
    <row r="60" spans="1:5" x14ac:dyDescent="0.2">
      <c r="A60" s="12">
        <v>46104</v>
      </c>
      <c r="B60" s="18">
        <v>4.3419999999999996</v>
      </c>
      <c r="C60" s="18">
        <v>0.69059999999999999</v>
      </c>
      <c r="D60" s="18">
        <v>3.8519000000000001</v>
      </c>
      <c r="E60" s="19">
        <f t="shared" si="1"/>
        <v>49.009999999999955</v>
      </c>
    </row>
    <row r="61" spans="1:5" x14ac:dyDescent="0.2">
      <c r="A61" s="12">
        <v>46105</v>
      </c>
      <c r="B61" s="18">
        <v>4.3598999999999997</v>
      </c>
      <c r="C61" s="18">
        <v>0.67279999999999995</v>
      </c>
      <c r="D61" s="18">
        <v>3.8887</v>
      </c>
      <c r="E61" s="19">
        <f t="shared" si="1"/>
        <v>47.119999999999962</v>
      </c>
    </row>
    <row r="62" spans="1:5" x14ac:dyDescent="0.2">
      <c r="A62" s="12">
        <v>46106</v>
      </c>
      <c r="B62" s="18">
        <v>4.3322000000000003</v>
      </c>
      <c r="C62" s="18">
        <v>0.62570000000000003</v>
      </c>
      <c r="D62" s="18">
        <v>3.8852000000000002</v>
      </c>
      <c r="E62" s="19">
        <f t="shared" si="1"/>
        <v>44.7</v>
      </c>
    </row>
    <row r="63" spans="1:5" x14ac:dyDescent="0.2">
      <c r="A63" s="12">
        <v>46107</v>
      </c>
      <c r="B63" s="18">
        <v>4.4116999999999997</v>
      </c>
      <c r="C63" s="18">
        <v>0.65139999999999998</v>
      </c>
      <c r="D63" s="18">
        <v>3.9857999999999998</v>
      </c>
      <c r="E63" s="19">
        <f t="shared" si="1"/>
        <v>42.589999999999996</v>
      </c>
    </row>
    <row r="64" spans="1:5" x14ac:dyDescent="0.2">
      <c r="A64" s="12">
        <v>46108</v>
      </c>
      <c r="B64" s="18">
        <v>4.4278000000000004</v>
      </c>
      <c r="C64" s="18">
        <v>0.73680000000000001</v>
      </c>
      <c r="D64" s="18">
        <v>3.9119000000000002</v>
      </c>
      <c r="E64" s="19">
        <f t="shared" si="1"/>
        <v>51.590000000000025</v>
      </c>
    </row>
    <row r="65" spans="1:5" x14ac:dyDescent="0.2">
      <c r="A65" s="12">
        <v>46111</v>
      </c>
      <c r="B65" s="18">
        <v>4.3482000000000003</v>
      </c>
      <c r="C65" s="18">
        <v>0.68149999999999999</v>
      </c>
      <c r="D65" s="18">
        <v>3.8279000000000001</v>
      </c>
      <c r="E65" s="19">
        <f t="shared" si="1"/>
        <v>52.030000000000022</v>
      </c>
    </row>
    <row r="66" spans="1:5" x14ac:dyDescent="0.2">
      <c r="A66" s="12">
        <v>46112</v>
      </c>
      <c r="B66" s="18">
        <v>4.3166000000000002</v>
      </c>
      <c r="C66" s="18">
        <v>0.64910000000000001</v>
      </c>
      <c r="D66" s="18">
        <v>3.7930000000000001</v>
      </c>
      <c r="E66" s="19">
        <f t="shared" si="1"/>
        <v>52.360000000000007</v>
      </c>
    </row>
    <row r="67" spans="1:5" x14ac:dyDescent="0.2">
      <c r="A67" s="12">
        <v>46113</v>
      </c>
      <c r="B67" s="18">
        <v>4.3186</v>
      </c>
      <c r="C67" s="18">
        <v>0.68059999999999998</v>
      </c>
      <c r="D67" s="18">
        <v>3.8010000000000002</v>
      </c>
      <c r="E67" s="19">
        <f t="shared" si="1"/>
        <v>51.759999999999984</v>
      </c>
    </row>
    <row r="68" spans="1:5" x14ac:dyDescent="0.2">
      <c r="A68" s="12">
        <v>46114</v>
      </c>
      <c r="B68" s="18">
        <v>4.3048999999999999</v>
      </c>
      <c r="C68" s="18">
        <v>0.6532</v>
      </c>
      <c r="D68" s="18">
        <v>3.7963</v>
      </c>
      <c r="E68" s="19">
        <f t="shared" si="1"/>
        <v>50.859999999999992</v>
      </c>
    </row>
    <row r="69" spans="1:5" x14ac:dyDescent="0.2">
      <c r="A69" s="12">
        <v>46118</v>
      </c>
      <c r="B69" s="18">
        <v>4.3307000000000002</v>
      </c>
      <c r="C69" s="18">
        <v>0.64080000000000004</v>
      </c>
      <c r="D69" s="18">
        <v>3.8477999999999999</v>
      </c>
      <c r="E69" s="19">
        <f t="shared" ref="E69:E100" si="2">IF(OR(B69="",D69=""),"",(B69-D69)*100)</f>
        <v>48.290000000000035</v>
      </c>
    </row>
    <row r="70" spans="1:5" x14ac:dyDescent="0.2">
      <c r="A70" s="12">
        <v>46119</v>
      </c>
      <c r="B70" s="18">
        <v>4.2930999999999999</v>
      </c>
      <c r="C70" s="18">
        <v>0.66180000000000005</v>
      </c>
      <c r="D70" s="18">
        <v>3.7877000000000001</v>
      </c>
      <c r="E70" s="19">
        <f t="shared" si="2"/>
        <v>50.539999999999985</v>
      </c>
    </row>
    <row r="71" spans="1:5" x14ac:dyDescent="0.2">
      <c r="A71" s="12">
        <v>46120</v>
      </c>
      <c r="B71" s="18">
        <v>4.2911000000000001</v>
      </c>
      <c r="C71" s="18">
        <v>0.6411</v>
      </c>
      <c r="D71" s="18">
        <v>3.7854999999999999</v>
      </c>
      <c r="E71" s="19">
        <f t="shared" si="2"/>
        <v>50.560000000000031</v>
      </c>
    </row>
    <row r="72" spans="1:5" x14ac:dyDescent="0.2">
      <c r="A72" s="12">
        <v>46121</v>
      </c>
      <c r="B72" s="18">
        <v>4.2754000000000003</v>
      </c>
      <c r="C72" s="18">
        <v>0.65469999999999995</v>
      </c>
      <c r="D72" s="18">
        <v>3.7667000000000002</v>
      </c>
      <c r="E72" s="19">
        <f t="shared" si="2"/>
        <v>50.870000000000019</v>
      </c>
    </row>
    <row r="73" spans="1:5" x14ac:dyDescent="0.2">
      <c r="A73" s="12">
        <v>46122</v>
      </c>
      <c r="B73" s="18">
        <v>4.3170000000000002</v>
      </c>
      <c r="C73" s="18">
        <v>0.66879999999999995</v>
      </c>
      <c r="D73" s="18">
        <v>3.7951999999999999</v>
      </c>
      <c r="E73" s="19">
        <f t="shared" si="2"/>
        <v>52.180000000000028</v>
      </c>
    </row>
    <row r="74" spans="1:5" x14ac:dyDescent="0.2">
      <c r="A74" s="12">
        <v>46125</v>
      </c>
      <c r="B74" s="18">
        <v>4.2933000000000003</v>
      </c>
      <c r="C74" s="18">
        <v>0.65810000000000002</v>
      </c>
      <c r="D74" s="18">
        <v>3.7722000000000002</v>
      </c>
      <c r="E74" s="19">
        <f t="shared" si="2"/>
        <v>52.110000000000014</v>
      </c>
    </row>
    <row r="75" spans="1:5" x14ac:dyDescent="0.2">
      <c r="A75" s="12">
        <v>46126</v>
      </c>
      <c r="B75" s="18">
        <v>4.2478999999999996</v>
      </c>
      <c r="C75" s="18">
        <v>0.625</v>
      </c>
      <c r="D75" s="18">
        <v>3.7448999999999999</v>
      </c>
      <c r="E75" s="19">
        <f t="shared" si="2"/>
        <v>50.299999999999969</v>
      </c>
    </row>
    <row r="76" spans="1:5" x14ac:dyDescent="0.2">
      <c r="A76" s="12">
        <v>46127</v>
      </c>
      <c r="B76" s="18">
        <v>4.2834000000000003</v>
      </c>
      <c r="C76" s="18">
        <v>0.64739999999999998</v>
      </c>
      <c r="D76" s="18">
        <v>3.7614000000000001</v>
      </c>
      <c r="E76" s="19">
        <f t="shared" si="2"/>
        <v>52.200000000000024</v>
      </c>
    </row>
    <row r="77" spans="1:5" x14ac:dyDescent="0.2">
      <c r="A77" s="12">
        <v>46128</v>
      </c>
      <c r="B77" s="18">
        <v>4.3112000000000004</v>
      </c>
      <c r="C77" s="18">
        <v>0.68440000000000001</v>
      </c>
      <c r="D77" s="18">
        <v>3.7736999999999998</v>
      </c>
      <c r="E77" s="19">
        <f t="shared" si="2"/>
        <v>53.750000000000057</v>
      </c>
    </row>
    <row r="78" spans="1:5" x14ac:dyDescent="0.2">
      <c r="A78" s="12">
        <v>46129</v>
      </c>
      <c r="B78" s="18">
        <v>4.2480000000000002</v>
      </c>
      <c r="C78" s="18">
        <v>0.66190000000000004</v>
      </c>
      <c r="D78" s="18">
        <v>3.7082000000000002</v>
      </c>
      <c r="E78" s="19">
        <f t="shared" si="2"/>
        <v>53.980000000000004</v>
      </c>
    </row>
    <row r="79" spans="1:5" x14ac:dyDescent="0.2">
      <c r="A79" s="12">
        <v>46132</v>
      </c>
      <c r="B79" s="18">
        <v>4.2510000000000003</v>
      </c>
      <c r="C79" s="18">
        <v>0.65</v>
      </c>
      <c r="D79" s="18">
        <v>3.7204999999999999</v>
      </c>
      <c r="E79" s="19">
        <f t="shared" si="2"/>
        <v>53.05000000000004</v>
      </c>
    </row>
    <row r="80" spans="1:5" x14ac:dyDescent="0.2">
      <c r="A80" s="12">
        <v>46133</v>
      </c>
      <c r="B80" s="18">
        <v>4.2915999999999999</v>
      </c>
      <c r="C80" s="18">
        <v>0.64980000000000004</v>
      </c>
      <c r="D80" s="18">
        <v>3.7791000000000001</v>
      </c>
      <c r="E80" s="19">
        <f t="shared" si="2"/>
        <v>51.249999999999972</v>
      </c>
    </row>
    <row r="81" spans="1:5" x14ac:dyDescent="0.2">
      <c r="A81" s="12">
        <v>46134</v>
      </c>
      <c r="B81" s="18">
        <v>4.3025000000000002</v>
      </c>
      <c r="C81" s="18">
        <v>0.65010000000000001</v>
      </c>
      <c r="D81" s="18">
        <v>3.7978999999999998</v>
      </c>
      <c r="E81" s="19">
        <f t="shared" si="2"/>
        <v>50.460000000000036</v>
      </c>
    </row>
    <row r="82" spans="1:5" x14ac:dyDescent="0.2">
      <c r="A82" s="12">
        <v>46135</v>
      </c>
      <c r="B82" s="18">
        <v>4.3243999999999998</v>
      </c>
      <c r="C82" s="18">
        <v>0.66649999999999998</v>
      </c>
      <c r="D82" s="18">
        <v>3.8336999999999999</v>
      </c>
      <c r="E82" s="19">
        <f t="shared" si="2"/>
        <v>49.069999999999993</v>
      </c>
    </row>
    <row r="83" spans="1:5" x14ac:dyDescent="0.2">
      <c r="A83" s="12">
        <v>46136</v>
      </c>
      <c r="B83" s="18">
        <v>4.3007</v>
      </c>
      <c r="C83" s="18">
        <v>0.66779999999999995</v>
      </c>
      <c r="D83" s="18">
        <v>3.7783000000000002</v>
      </c>
      <c r="E83" s="19">
        <f t="shared" si="2"/>
        <v>52.239999999999974</v>
      </c>
    </row>
    <row r="84" spans="1:5" x14ac:dyDescent="0.2">
      <c r="A84" s="12">
        <v>46139</v>
      </c>
      <c r="B84" s="18">
        <v>4.3395000000000001</v>
      </c>
      <c r="C84" s="18">
        <v>0.69330000000000003</v>
      </c>
      <c r="D84" s="18">
        <v>3.7972000000000001</v>
      </c>
      <c r="E84" s="19">
        <f t="shared" si="2"/>
        <v>54.230000000000004</v>
      </c>
    </row>
    <row r="85" spans="1:5" x14ac:dyDescent="0.2">
      <c r="A85" s="12">
        <v>46140</v>
      </c>
      <c r="B85" s="18">
        <v>4.3455000000000004</v>
      </c>
      <c r="C85" s="18">
        <v>0.68269999999999997</v>
      </c>
      <c r="D85" s="18">
        <v>3.8359999999999999</v>
      </c>
      <c r="E85" s="19">
        <f t="shared" si="2"/>
        <v>50.950000000000053</v>
      </c>
    </row>
    <row r="86" spans="1:5" x14ac:dyDescent="0.2">
      <c r="A86" s="12">
        <v>46141</v>
      </c>
      <c r="B86" s="18">
        <v>4.4298000000000002</v>
      </c>
      <c r="C86" s="18">
        <v>0.69740000000000002</v>
      </c>
      <c r="D86" s="18">
        <v>3.9468000000000001</v>
      </c>
      <c r="E86" s="19">
        <f t="shared" si="2"/>
        <v>48.300000000000011</v>
      </c>
    </row>
    <row r="87" spans="1:5" x14ac:dyDescent="0.2">
      <c r="A87" s="12">
        <v>46142</v>
      </c>
      <c r="B87" s="18">
        <v>4.3705999999999996</v>
      </c>
      <c r="C87" s="18">
        <v>0.71450000000000002</v>
      </c>
      <c r="D87" s="18">
        <v>3.8689</v>
      </c>
      <c r="E87" s="19">
        <f t="shared" si="2"/>
        <v>50.169999999999959</v>
      </c>
    </row>
    <row r="88" spans="1:5" x14ac:dyDescent="0.2">
      <c r="A88" s="12">
        <v>46143</v>
      </c>
      <c r="B88" s="18">
        <v>4.3697999999999997</v>
      </c>
      <c r="C88" s="18">
        <v>0.6966</v>
      </c>
      <c r="D88" s="18">
        <v>3.8774999999999999</v>
      </c>
      <c r="E88" s="19">
        <f t="shared" si="2"/>
        <v>49.229999999999976</v>
      </c>
    </row>
    <row r="89" spans="1:5" x14ac:dyDescent="0.2">
      <c r="A89" s="12">
        <v>46146</v>
      </c>
      <c r="B89" s="18">
        <v>4.4382000000000001</v>
      </c>
      <c r="C89" s="18">
        <v>0.72470000000000001</v>
      </c>
      <c r="D89" s="18">
        <v>3.952</v>
      </c>
      <c r="E89" s="19">
        <f t="shared" si="2"/>
        <v>48.620000000000019</v>
      </c>
    </row>
    <row r="90" spans="1:5" x14ac:dyDescent="0.2">
      <c r="A90" s="12">
        <v>46147</v>
      </c>
      <c r="B90" s="18">
        <v>4.4241000000000001</v>
      </c>
      <c r="C90" s="18">
        <v>0.70399999999999996</v>
      </c>
      <c r="D90" s="18">
        <v>3.9398</v>
      </c>
      <c r="E90" s="19">
        <f t="shared" si="2"/>
        <v>48.430000000000021</v>
      </c>
    </row>
    <row r="91" spans="1:5" x14ac:dyDescent="0.2">
      <c r="A91" s="12">
        <v>46148</v>
      </c>
      <c r="B91" s="18">
        <v>4.3489000000000004</v>
      </c>
      <c r="C91" s="18">
        <v>0.66320000000000001</v>
      </c>
      <c r="D91" s="18">
        <v>3.8654000000000002</v>
      </c>
      <c r="E91" s="19">
        <f t="shared" si="2"/>
        <v>48.350000000000023</v>
      </c>
    </row>
    <row r="92" spans="1:5" x14ac:dyDescent="0.2">
      <c r="A92" s="12">
        <v>46149</v>
      </c>
      <c r="B92" s="18">
        <v>4.3860999999999999</v>
      </c>
      <c r="C92" s="18">
        <v>0.68279999999999996</v>
      </c>
      <c r="D92" s="18">
        <v>3.9112</v>
      </c>
      <c r="E92" s="19">
        <f t="shared" si="2"/>
        <v>47.489999999999988</v>
      </c>
    </row>
    <row r="93" spans="1:5" x14ac:dyDescent="0.2">
      <c r="A93" s="12">
        <v>46150</v>
      </c>
      <c r="B93" s="18">
        <v>4.3540999999999999</v>
      </c>
      <c r="C93" s="18">
        <v>0.65820000000000001</v>
      </c>
      <c r="D93" s="18">
        <v>3.8845999999999998</v>
      </c>
      <c r="E93" s="19">
        <f t="shared" si="2"/>
        <v>46.95</v>
      </c>
    </row>
    <row r="94" spans="1:5" x14ac:dyDescent="0.2">
      <c r="A94" s="12">
        <v>46153</v>
      </c>
      <c r="B94" s="18">
        <v>4.4134000000000002</v>
      </c>
      <c r="C94" s="18">
        <v>0.68069999999999997</v>
      </c>
      <c r="D94" s="18">
        <v>3.9535999999999998</v>
      </c>
      <c r="E94" s="19">
        <f t="shared" si="2"/>
        <v>45.980000000000047</v>
      </c>
    </row>
    <row r="95" spans="1:5" x14ac:dyDescent="0.2">
      <c r="A95" s="12">
        <v>46154</v>
      </c>
      <c r="B95" s="18">
        <v>4.4630000000000001</v>
      </c>
      <c r="C95" s="18">
        <v>0.71679999999999999</v>
      </c>
      <c r="D95" s="18">
        <v>3.9914000000000001</v>
      </c>
      <c r="E95" s="19">
        <f t="shared" si="2"/>
        <v>47.160000000000004</v>
      </c>
    </row>
    <row r="96" spans="1:5" x14ac:dyDescent="0.2">
      <c r="A96" s="12">
        <v>46155</v>
      </c>
      <c r="B96" s="18">
        <v>4.4687999999999999</v>
      </c>
      <c r="C96" s="18">
        <v>0.72889999999999999</v>
      </c>
      <c r="D96" s="18">
        <v>3.9790999999999999</v>
      </c>
      <c r="E96" s="19">
        <f t="shared" si="2"/>
        <v>48.97</v>
      </c>
    </row>
    <row r="97" spans="1:5" x14ac:dyDescent="0.2">
      <c r="A97" s="12">
        <v>46156</v>
      </c>
      <c r="B97" s="18">
        <v>4.4816000000000003</v>
      </c>
      <c r="C97" s="18">
        <v>0.70420000000000005</v>
      </c>
      <c r="D97" s="18">
        <v>4.0171999999999999</v>
      </c>
      <c r="E97" s="19">
        <f t="shared" si="2"/>
        <v>46.44000000000004</v>
      </c>
    </row>
    <row r="98" spans="1:5" x14ac:dyDescent="0.2">
      <c r="A98" s="12">
        <v>46157</v>
      </c>
      <c r="B98" s="18">
        <v>4.5933999999999999</v>
      </c>
      <c r="C98" s="18">
        <v>0.81840000000000002</v>
      </c>
      <c r="D98" s="18">
        <v>4.0686999999999998</v>
      </c>
      <c r="E98" s="19">
        <f t="shared" si="2"/>
        <v>52.470000000000013</v>
      </c>
    </row>
    <row r="99" spans="1:5" x14ac:dyDescent="0.2">
      <c r="A99" s="12">
        <v>46160</v>
      </c>
      <c r="B99" s="18">
        <v>4.5873999999999997</v>
      </c>
      <c r="C99" s="18">
        <v>0.82689999999999997</v>
      </c>
      <c r="D99" s="18">
        <v>4.0438000000000001</v>
      </c>
      <c r="E99" s="19">
        <f t="shared" si="2"/>
        <v>54.359999999999964</v>
      </c>
    </row>
    <row r="100" spans="1:5" x14ac:dyDescent="0.2">
      <c r="A100" s="12">
        <v>46161</v>
      </c>
      <c r="B100" s="18">
        <v>4.6662999999999997</v>
      </c>
      <c r="C100" s="18">
        <v>0.87670000000000003</v>
      </c>
      <c r="D100" s="18">
        <v>4.1181999999999999</v>
      </c>
      <c r="E100" s="19">
        <f t="shared" si="2"/>
        <v>54.809999999999981</v>
      </c>
    </row>
    <row r="101" spans="1:5" x14ac:dyDescent="0.2">
      <c r="A101" s="12">
        <v>46162</v>
      </c>
      <c r="B101" s="18">
        <v>4.5854999999999997</v>
      </c>
      <c r="C101" s="18">
        <v>0.80700000000000005</v>
      </c>
      <c r="D101" s="18">
        <v>4.0551000000000004</v>
      </c>
      <c r="E101" s="19">
        <f t="shared" ref="E101:E132" si="3">IF(OR(B101="",D101=""),"",(B101-D101)*100)</f>
        <v>53.039999999999935</v>
      </c>
    </row>
    <row r="102" spans="1:5" x14ac:dyDescent="0.2">
      <c r="A102" s="12">
        <v>46163</v>
      </c>
      <c r="B102" s="18">
        <v>4.5696000000000003</v>
      </c>
      <c r="C102" s="18">
        <v>0.77700000000000002</v>
      </c>
      <c r="D102" s="18">
        <v>4.0830000000000002</v>
      </c>
      <c r="E102" s="19">
        <f t="shared" si="3"/>
        <v>48.660000000000011</v>
      </c>
    </row>
    <row r="103" spans="1:5" x14ac:dyDescent="0.2">
      <c r="A103" s="12">
        <v>46164</v>
      </c>
      <c r="B103" s="18">
        <v>4.5578000000000003</v>
      </c>
      <c r="C103" s="18">
        <v>0.72509999999999997</v>
      </c>
      <c r="D103" s="18">
        <v>4.1210000000000004</v>
      </c>
      <c r="E103" s="19">
        <f t="shared" si="3"/>
        <v>43.679999999999986</v>
      </c>
    </row>
    <row r="104" spans="1:5" x14ac:dyDescent="0.2">
      <c r="A104" s="12">
        <v>46168</v>
      </c>
      <c r="B104" s="18">
        <v>4.4846000000000004</v>
      </c>
      <c r="C104" s="18">
        <v>0.70009999999999994</v>
      </c>
      <c r="D104" s="18">
        <v>4.0316999999999998</v>
      </c>
      <c r="E104" s="19">
        <f t="shared" si="3"/>
        <v>45.290000000000049</v>
      </c>
    </row>
    <row r="105" spans="1:5" x14ac:dyDescent="0.2">
      <c r="A105" s="12">
        <v>46169</v>
      </c>
      <c r="B105" s="18">
        <v>4.4827000000000004</v>
      </c>
      <c r="C105" s="18">
        <v>0.68769999999999998</v>
      </c>
      <c r="D105" s="18">
        <v>4.0327999999999999</v>
      </c>
      <c r="E105" s="19">
        <f t="shared" si="3"/>
        <v>44.990000000000038</v>
      </c>
    </row>
    <row r="106" spans="1:5" x14ac:dyDescent="0.2">
      <c r="A106" s="12">
        <v>46170</v>
      </c>
      <c r="B106" s="18">
        <v>4.4473000000000003</v>
      </c>
      <c r="C106" s="18">
        <v>0.65939999999999999</v>
      </c>
      <c r="D106" s="18">
        <v>4.0205000000000002</v>
      </c>
      <c r="E106" s="19">
        <f t="shared" si="3"/>
        <v>42.680000000000007</v>
      </c>
    </row>
    <row r="107" spans="1:5" x14ac:dyDescent="0.2">
      <c r="A107" s="12">
        <v>46171</v>
      </c>
      <c r="B107" s="18">
        <v>4.4355000000000002</v>
      </c>
      <c r="C107" s="18">
        <v>0.66069999999999995</v>
      </c>
      <c r="D107" s="18">
        <v>4.0041000000000002</v>
      </c>
      <c r="E107" s="19">
        <f t="shared" si="3"/>
        <v>43.14</v>
      </c>
    </row>
    <row r="108" spans="1:5" x14ac:dyDescent="0.2">
      <c r="A108" s="12">
        <v>46174</v>
      </c>
      <c r="B108" s="18">
        <v>4.4531999999999998</v>
      </c>
      <c r="C108" s="18">
        <v>0.65849999999999997</v>
      </c>
      <c r="D108" s="18">
        <v>4.0327999999999999</v>
      </c>
      <c r="E108" s="19">
        <f t="shared" si="3"/>
        <v>42.039999999999992</v>
      </c>
    </row>
    <row r="109" spans="1:5" x14ac:dyDescent="0.2">
      <c r="A109" s="12">
        <v>46175</v>
      </c>
      <c r="B109" s="18">
        <v>4.4432999999999998</v>
      </c>
      <c r="C109" s="18">
        <v>0.63439999999999996</v>
      </c>
      <c r="D109" s="18">
        <v>4.0430999999999999</v>
      </c>
      <c r="E109" s="19">
        <f t="shared" si="3"/>
        <v>40.019999999999989</v>
      </c>
    </row>
    <row r="110" spans="1:5" x14ac:dyDescent="0.2">
      <c r="A110" s="12">
        <v>46176</v>
      </c>
      <c r="B110" s="18">
        <v>4.4946000000000002</v>
      </c>
      <c r="C110" s="18">
        <v>0.65769999999999995</v>
      </c>
      <c r="D110" s="18">
        <v>4.0823999999999998</v>
      </c>
      <c r="E110" s="19">
        <f t="shared" si="3"/>
        <v>41.220000000000034</v>
      </c>
    </row>
    <row r="111" spans="1:5" x14ac:dyDescent="0.2">
      <c r="A111" s="12">
        <v>46177</v>
      </c>
      <c r="B111" s="18">
        <v>4.4729000000000001</v>
      </c>
      <c r="C111" s="18">
        <v>0.65580000000000005</v>
      </c>
      <c r="D111" s="18">
        <v>4.0430999999999999</v>
      </c>
      <c r="E111" s="19">
        <f t="shared" si="3"/>
        <v>42.980000000000018</v>
      </c>
    </row>
    <row r="112" spans="1:5" x14ac:dyDescent="0.2">
      <c r="A112" s="12">
        <v>46178</v>
      </c>
      <c r="B112" s="18">
        <v>4.5303000000000004</v>
      </c>
      <c r="C112" s="18">
        <v>0.66400000000000003</v>
      </c>
      <c r="D112" s="18">
        <v>4.1470000000000002</v>
      </c>
      <c r="E112" s="19">
        <f t="shared" si="3"/>
        <v>38.33000000000002</v>
      </c>
    </row>
    <row r="113" spans="1:5" x14ac:dyDescent="0.2">
      <c r="A113" s="12">
        <v>46181</v>
      </c>
      <c r="B113" s="18">
        <v>4.5621999999999998</v>
      </c>
      <c r="C113" s="18">
        <v>0.68159999999999998</v>
      </c>
      <c r="D113" s="18">
        <v>4.1618000000000004</v>
      </c>
      <c r="E113" s="19">
        <f t="shared" si="3"/>
        <v>40.039999999999942</v>
      </c>
    </row>
    <row r="114" spans="1:5" x14ac:dyDescent="0.2">
      <c r="A114" s="12">
        <v>46182</v>
      </c>
      <c r="B114" s="18">
        <v>4.5164999999999997</v>
      </c>
      <c r="C114" s="18">
        <v>0.66600000000000004</v>
      </c>
      <c r="D114" s="18">
        <v>4.1181000000000001</v>
      </c>
      <c r="E114" s="19">
        <f t="shared" si="3"/>
        <v>39.839999999999961</v>
      </c>
    </row>
    <row r="115" spans="1:5" x14ac:dyDescent="0.2">
      <c r="A115" s="12">
        <v>46183</v>
      </c>
      <c r="B115" s="18">
        <v>4.5522999999999998</v>
      </c>
      <c r="C115" s="18">
        <v>0.6865</v>
      </c>
      <c r="D115" s="18">
        <v>4.1433</v>
      </c>
      <c r="E115" s="19">
        <f t="shared" si="3"/>
        <v>40.899999999999977</v>
      </c>
    </row>
    <row r="116" spans="1:5" x14ac:dyDescent="0.2">
      <c r="A116" s="12">
        <v>46184</v>
      </c>
      <c r="B116" s="18">
        <v>4.4611000000000001</v>
      </c>
      <c r="C116" s="18">
        <v>0.61660000000000004</v>
      </c>
      <c r="D116" s="18">
        <v>4.0618999999999996</v>
      </c>
      <c r="E116" s="19">
        <f t="shared" si="3"/>
        <v>39.920000000000044</v>
      </c>
    </row>
    <row r="117" spans="1:5" x14ac:dyDescent="0.2">
      <c r="A117" s="12">
        <v>46185</v>
      </c>
      <c r="B117" s="18">
        <v>4.4789000000000003</v>
      </c>
      <c r="C117" s="18">
        <v>0.63390000000000002</v>
      </c>
      <c r="D117" s="18">
        <v>4.0808999999999997</v>
      </c>
      <c r="E117" s="19">
        <f t="shared" si="3"/>
        <v>39.800000000000054</v>
      </c>
    </row>
    <row r="118" spans="1:5" x14ac:dyDescent="0.2">
      <c r="A118" s="12">
        <v>46188</v>
      </c>
      <c r="B118" s="18">
        <v>4.4729999999999999</v>
      </c>
      <c r="C118" s="18">
        <v>0.62780000000000002</v>
      </c>
      <c r="D118" s="18">
        <v>4.0663</v>
      </c>
      <c r="E118" s="19">
        <f t="shared" si="3"/>
        <v>40.669999999999987</v>
      </c>
    </row>
    <row r="119" spans="1:5" x14ac:dyDescent="0.2">
      <c r="A119" s="12">
        <v>46189</v>
      </c>
      <c r="B119" s="18">
        <v>4.4394</v>
      </c>
      <c r="C119" s="18">
        <v>0.5806</v>
      </c>
      <c r="D119" s="18">
        <v>4.0515999999999996</v>
      </c>
      <c r="E119" s="19">
        <f t="shared" si="3"/>
        <v>38.780000000000037</v>
      </c>
    </row>
    <row r="120" spans="1:5" x14ac:dyDescent="0.2">
      <c r="A120" s="12">
        <v>46190</v>
      </c>
      <c r="B120" s="18">
        <v>4.4869000000000003</v>
      </c>
      <c r="C120" s="18">
        <v>0.53420000000000001</v>
      </c>
      <c r="D120" s="18">
        <v>4.1843000000000004</v>
      </c>
      <c r="E120" s="19">
        <f t="shared" si="3"/>
        <v>30.259999999999998</v>
      </c>
    </row>
    <row r="121" spans="1:5" x14ac:dyDescent="0.2">
      <c r="A121" s="12">
        <v>46191</v>
      </c>
      <c r="B121" s="18">
        <v>4.4532999999999996</v>
      </c>
      <c r="C121" s="18">
        <v>0.50339999999999996</v>
      </c>
      <c r="D121" s="18">
        <v>4.1767000000000003</v>
      </c>
      <c r="E121" s="19">
        <f t="shared" si="3"/>
        <v>27.659999999999929</v>
      </c>
    </row>
    <row r="122" spans="1:5" x14ac:dyDescent="0.2">
      <c r="A122" s="12">
        <v>46195</v>
      </c>
      <c r="B122" s="18">
        <v>4.5087999999999999</v>
      </c>
      <c r="C122" s="18">
        <v>0.52690000000000003</v>
      </c>
      <c r="D122" s="18">
        <v>4.2256999999999998</v>
      </c>
      <c r="E122" s="19">
        <f t="shared" si="3"/>
        <v>28.310000000000013</v>
      </c>
    </row>
    <row r="123" spans="1:5" x14ac:dyDescent="0.2">
      <c r="A123" s="12">
        <v>46196</v>
      </c>
      <c r="B123" s="18">
        <v>4.4969000000000001</v>
      </c>
      <c r="C123" s="18">
        <v>0.53859999999999997</v>
      </c>
      <c r="D123" s="18">
        <v>4.1982999999999997</v>
      </c>
      <c r="E123" s="19">
        <f t="shared" si="3"/>
        <v>29.860000000000042</v>
      </c>
    </row>
    <row r="124" spans="1:5" x14ac:dyDescent="0.2">
      <c r="A124" s="12">
        <v>46197</v>
      </c>
      <c r="B124" s="18">
        <v>4.3921999999999999</v>
      </c>
      <c r="C124" s="18">
        <v>0.46010000000000001</v>
      </c>
      <c r="D124" s="18">
        <v>4.1456</v>
      </c>
      <c r="E124" s="19">
        <f t="shared" si="3"/>
        <v>24.659999999999993</v>
      </c>
    </row>
    <row r="125" spans="1:5" x14ac:dyDescent="0.2">
      <c r="A125" s="12">
        <v>46198</v>
      </c>
      <c r="B125" s="18">
        <v>4.3921999999999999</v>
      </c>
      <c r="C125" s="18">
        <v>0.46379999999999999</v>
      </c>
      <c r="D125" s="18">
        <v>4.1228999999999996</v>
      </c>
      <c r="E125" s="19">
        <f t="shared" si="3"/>
        <v>26.930000000000032</v>
      </c>
    </row>
    <row r="126" spans="1:5" x14ac:dyDescent="0.2">
      <c r="A126" s="12">
        <v>46199</v>
      </c>
      <c r="B126" s="18">
        <v>4.3685999999999998</v>
      </c>
      <c r="C126" s="18">
        <v>0.47070000000000001</v>
      </c>
      <c r="D126" s="18">
        <v>4.0921000000000003</v>
      </c>
      <c r="E126" s="19">
        <f t="shared" si="3"/>
        <v>27.649999999999952</v>
      </c>
    </row>
    <row r="127" spans="1:5" x14ac:dyDescent="0.2">
      <c r="A127" s="12">
        <v>46202</v>
      </c>
      <c r="B127" s="18">
        <v>4.3743999999999996</v>
      </c>
      <c r="C127" s="18">
        <v>0.45540000000000003</v>
      </c>
      <c r="D127" s="18">
        <v>4.1044999999999998</v>
      </c>
      <c r="E127" s="19">
        <f t="shared" si="3"/>
        <v>26.989999999999981</v>
      </c>
    </row>
    <row r="128" spans="1:5" x14ac:dyDescent="0.2">
      <c r="A128" s="12">
        <v>46203</v>
      </c>
      <c r="B128" s="18">
        <v>4.4652000000000003</v>
      </c>
      <c r="C128" s="18">
        <v>0.50619999999999998</v>
      </c>
      <c r="D128" s="18">
        <v>4.1722999999999999</v>
      </c>
      <c r="E128" s="19">
        <f t="shared" si="3"/>
        <v>29.290000000000038</v>
      </c>
    </row>
    <row r="129" spans="1:5" x14ac:dyDescent="0.2">
      <c r="A129" s="12">
        <v>46204</v>
      </c>
      <c r="B129" s="18">
        <v>4.4790999999999999</v>
      </c>
      <c r="C129" s="18">
        <v>0.54239999999999999</v>
      </c>
      <c r="D129" s="18">
        <v>4.1744000000000003</v>
      </c>
      <c r="E129" s="19">
        <f t="shared" si="3"/>
        <v>30.469999999999953</v>
      </c>
    </row>
    <row r="130" spans="1:5" x14ac:dyDescent="0.2">
      <c r="A130" s="12">
        <v>46205</v>
      </c>
      <c r="B130" s="18">
        <v>4.4832000000000001</v>
      </c>
      <c r="C130" s="18">
        <v>0.58409999999999995</v>
      </c>
      <c r="D130" s="18">
        <v>4.1371000000000002</v>
      </c>
      <c r="E130" s="19">
        <f t="shared" si="3"/>
        <v>34.609999999999985</v>
      </c>
    </row>
    <row r="131" spans="1:5" x14ac:dyDescent="0.2">
      <c r="A131" s="12">
        <v>46209</v>
      </c>
      <c r="B131" s="18">
        <v>4.4692999999999996</v>
      </c>
      <c r="C131" s="18">
        <v>0.58760000000000001</v>
      </c>
      <c r="D131" s="18">
        <v>4.1101000000000001</v>
      </c>
      <c r="E131" s="19">
        <f t="shared" si="3"/>
        <v>35.919999999999952</v>
      </c>
    </row>
    <row r="132" spans="1:5" x14ac:dyDescent="0.2">
      <c r="A132" s="12">
        <v>46210</v>
      </c>
      <c r="B132" s="18">
        <v>4.5510999999999999</v>
      </c>
      <c r="C132" s="18">
        <v>0.62429999999999997</v>
      </c>
      <c r="D132" s="18">
        <v>4.1848000000000001</v>
      </c>
      <c r="E132" s="19">
        <f t="shared" si="3"/>
        <v>36.629999999999981</v>
      </c>
    </row>
    <row r="133" spans="1:5" x14ac:dyDescent="0.2">
      <c r="A133" s="12">
        <v>46211</v>
      </c>
      <c r="B133" s="18">
        <v>4.5792000000000002</v>
      </c>
      <c r="C133" s="18">
        <v>0.6421</v>
      </c>
      <c r="D133" s="18">
        <v>4.2180999999999997</v>
      </c>
      <c r="E133" s="19">
        <f t="shared" ref="E133:E164" si="4">IF(OR(B133="",D133=""),"",(B133-D133)*100)</f>
        <v>36.110000000000042</v>
      </c>
    </row>
    <row r="134" spans="1:5" x14ac:dyDescent="0.2">
      <c r="A134" s="12">
        <v>46212</v>
      </c>
      <c r="B134" s="18">
        <v>4.5510999999999999</v>
      </c>
      <c r="C134" s="18">
        <v>0.64539999999999997</v>
      </c>
      <c r="D134" s="18">
        <v>4.1764999999999999</v>
      </c>
      <c r="E134" s="19">
        <f t="shared" si="4"/>
        <v>37.460000000000008</v>
      </c>
    </row>
    <row r="135" spans="1:5" x14ac:dyDescent="0.2">
      <c r="A135" s="12">
        <v>46213</v>
      </c>
      <c r="B135" s="18">
        <v>4.5612000000000004</v>
      </c>
      <c r="C135" s="18">
        <v>0.6431</v>
      </c>
      <c r="D135" s="18">
        <v>4.2079000000000004</v>
      </c>
      <c r="E135" s="19">
        <f t="shared" si="4"/>
        <v>35.33</v>
      </c>
    </row>
    <row r="136" spans="1:5" x14ac:dyDescent="0.2">
      <c r="A136" s="12">
        <v>46216</v>
      </c>
      <c r="B136" s="18">
        <v>4.6237000000000004</v>
      </c>
      <c r="C136" s="18">
        <v>0.65759999999999996</v>
      </c>
      <c r="D136" s="18">
        <v>4.2815000000000003</v>
      </c>
      <c r="E136" s="19">
        <f t="shared" si="4"/>
        <v>34.220000000000006</v>
      </c>
    </row>
    <row r="137" spans="1:5" x14ac:dyDescent="0.2">
      <c r="A137" s="12">
        <v>46217</v>
      </c>
      <c r="B137" s="18">
        <v>4.5894000000000004</v>
      </c>
      <c r="C137" s="18">
        <v>0.67459999999999998</v>
      </c>
      <c r="D137" s="18">
        <v>4.1933999999999996</v>
      </c>
      <c r="E137" s="19">
        <f t="shared" si="4"/>
        <v>39.60000000000008</v>
      </c>
    </row>
    <row r="138" spans="1:5" x14ac:dyDescent="0.2">
      <c r="A138" s="12">
        <v>46218</v>
      </c>
      <c r="B138" s="18">
        <v>4.5472999999999999</v>
      </c>
      <c r="C138" s="18">
        <v>0.67879999999999996</v>
      </c>
      <c r="D138" s="18">
        <v>4.1345999999999998</v>
      </c>
      <c r="E138" s="19">
        <f t="shared" si="4"/>
        <v>41.27000000000001</v>
      </c>
    </row>
    <row r="139" spans="1:5" x14ac:dyDescent="0.2">
      <c r="A139" s="12">
        <v>46219</v>
      </c>
      <c r="B139" s="18">
        <v>4.5533999999999999</v>
      </c>
      <c r="C139" s="18">
        <v>0.68559999999999999</v>
      </c>
      <c r="D139" s="18">
        <v>4.1409000000000002</v>
      </c>
      <c r="E139" s="19">
        <f t="shared" si="4"/>
        <v>41.249999999999964</v>
      </c>
    </row>
    <row r="140" spans="1:5" x14ac:dyDescent="0.2">
      <c r="A140" s="12">
        <v>46220</v>
      </c>
      <c r="B140" s="18">
        <v>4.5473999999999997</v>
      </c>
      <c r="C140" s="18">
        <v>0.64790000000000003</v>
      </c>
      <c r="D140" s="18">
        <v>4.1767000000000003</v>
      </c>
      <c r="E140" s="19">
        <f t="shared" si="4"/>
        <v>37.069999999999936</v>
      </c>
    </row>
    <row r="141" spans="1:5" x14ac:dyDescent="0.2">
      <c r="A141" s="12">
        <v>46223</v>
      </c>
      <c r="B141" s="18">
        <v>4.5917000000000003</v>
      </c>
      <c r="C141" s="18">
        <v>0.68130000000000002</v>
      </c>
      <c r="D141" s="18">
        <v>4.2062999999999997</v>
      </c>
      <c r="E141" s="19">
        <f t="shared" si="4"/>
        <v>38.540000000000063</v>
      </c>
    </row>
    <row r="142" spans="1:5" x14ac:dyDescent="0.2">
      <c r="A142" s="12">
        <v>46224</v>
      </c>
      <c r="B142" s="18">
        <v>4.6280999999999999</v>
      </c>
      <c r="C142" s="18">
        <v>0.68789999999999996</v>
      </c>
      <c r="D142" s="18">
        <v>4.2614999999999998</v>
      </c>
      <c r="E142" s="19">
        <f t="shared" si="4"/>
        <v>36.660000000000004</v>
      </c>
    </row>
    <row r="143" spans="1:5" x14ac:dyDescent="0.2">
      <c r="A143" s="12">
        <v>46225</v>
      </c>
      <c r="B143" s="18">
        <v>4.6544999999999996</v>
      </c>
      <c r="C143" s="18">
        <v>0.7</v>
      </c>
      <c r="D143" s="18">
        <v>4.2977999999999996</v>
      </c>
      <c r="E143" s="19">
        <f t="shared" si="4"/>
        <v>35.67</v>
      </c>
    </row>
    <row r="144" spans="1:5" x14ac:dyDescent="0.2">
      <c r="A144" s="12">
        <v>46226</v>
      </c>
      <c r="B144" s="18">
        <v>4.6932</v>
      </c>
      <c r="C144" s="18">
        <v>0.71430000000000005</v>
      </c>
      <c r="D144" s="18">
        <v>4.3470000000000004</v>
      </c>
      <c r="E144" s="19">
        <f t="shared" si="4"/>
        <v>34.619999999999962</v>
      </c>
    </row>
    <row r="145" spans="1:5" x14ac:dyDescent="0.2">
      <c r="A145" s="12">
        <v>46227</v>
      </c>
      <c r="B145" s="18">
        <v>4.6771000000000003</v>
      </c>
      <c r="C145" s="18">
        <v>0.7</v>
      </c>
      <c r="D145" s="18">
        <v>4.3305999999999996</v>
      </c>
      <c r="E145" s="19">
        <f t="shared" si="4"/>
        <v>34.65000000000007</v>
      </c>
    </row>
    <row r="146" spans="1:5" x14ac:dyDescent="0.2">
      <c r="A146" s="12">
        <v>46230</v>
      </c>
      <c r="B146" s="18">
        <v>4.6486999999999998</v>
      </c>
      <c r="C146" s="18">
        <v>0.65900000000000003</v>
      </c>
      <c r="D146" s="18">
        <v>4.3223000000000003</v>
      </c>
      <c r="E146" s="19">
        <f t="shared" si="4"/>
        <v>32.639999999999958</v>
      </c>
    </row>
    <row r="147" spans="1:5" x14ac:dyDescent="0.2">
      <c r="A147" s="12">
        <v>46231</v>
      </c>
      <c r="B147" s="18">
        <v>4.6062000000000003</v>
      </c>
      <c r="C147" s="18">
        <v>0.64359999999999995</v>
      </c>
      <c r="D147" s="18">
        <v>4.2870999999999997</v>
      </c>
      <c r="E147" s="19">
        <f t="shared" si="4"/>
        <v>31.910000000000061</v>
      </c>
    </row>
    <row r="148" spans="1:5" x14ac:dyDescent="0.2">
      <c r="A148" s="12">
        <v>46232</v>
      </c>
      <c r="B148" s="18">
        <v>4.6772999999999998</v>
      </c>
      <c r="C148" s="18">
        <v>0.76770000000000005</v>
      </c>
      <c r="D148" s="18">
        <v>4.2725999999999997</v>
      </c>
      <c r="E148" s="19">
        <f t="shared" si="4"/>
        <v>40.470000000000006</v>
      </c>
    </row>
    <row r="149" spans="1:5" x14ac:dyDescent="0.2">
      <c r="A149" s="12">
        <v>46233</v>
      </c>
      <c r="B149" s="18">
        <v>4.6733000000000002</v>
      </c>
      <c r="C149" s="18">
        <v>0.77959999999999996</v>
      </c>
      <c r="D149" s="18">
        <v>4.2458999999999998</v>
      </c>
      <c r="E149" s="19">
        <f t="shared" si="4"/>
        <v>42.740000000000045</v>
      </c>
    </row>
    <row r="150" spans="1:5" x14ac:dyDescent="0.2">
      <c r="A150" s="12">
        <v>46234</v>
      </c>
      <c r="B150" s="18">
        <v>4.7347000000000001</v>
      </c>
      <c r="C150" s="18">
        <v>0.83320000000000005</v>
      </c>
      <c r="D150" s="18">
        <v>4.2911999999999999</v>
      </c>
      <c r="E150" s="19">
        <f t="shared" si="4"/>
        <v>44.350000000000023</v>
      </c>
    </row>
    <row r="151" spans="1:5" x14ac:dyDescent="0.2">
      <c r="A151" s="12">
        <v>46237</v>
      </c>
      <c r="B151" s="18">
        <v>4.6755000000000004</v>
      </c>
      <c r="C151" s="18">
        <v>0.78400000000000003</v>
      </c>
      <c r="D151" s="18">
        <v>4.2373000000000003</v>
      </c>
      <c r="E151" s="19">
        <f t="shared" si="4"/>
        <v>43.820000000000014</v>
      </c>
    </row>
    <row r="152" spans="1:5" x14ac:dyDescent="0.2">
      <c r="A152" s="12">
        <v>46238</v>
      </c>
      <c r="B152" s="18">
        <v>4.6125999999999996</v>
      </c>
      <c r="C152" s="18">
        <v>0.748</v>
      </c>
      <c r="D152" s="18">
        <v>4.1917</v>
      </c>
      <c r="E152" s="19">
        <f t="shared" si="4"/>
        <v>42.089999999999961</v>
      </c>
    </row>
    <row r="153" spans="1:5" x14ac:dyDescent="0.2">
      <c r="A153" s="12">
        <v>46239</v>
      </c>
      <c r="B153" s="18">
        <v>4.6127000000000002</v>
      </c>
      <c r="C153" s="18">
        <v>0.75139999999999996</v>
      </c>
      <c r="D153" s="18">
        <v>4.1811999999999996</v>
      </c>
      <c r="E153" s="19">
        <f t="shared" si="4"/>
        <v>43.150000000000063</v>
      </c>
    </row>
    <row r="154" spans="1:5" x14ac:dyDescent="0.2">
      <c r="A154" s="12">
        <v>46240</v>
      </c>
      <c r="B154" s="18">
        <v>4.6778000000000004</v>
      </c>
      <c r="C154" s="18">
        <v>0.77059999999999995</v>
      </c>
      <c r="D154" s="18">
        <v>4.2454000000000001</v>
      </c>
      <c r="E154" s="19">
        <f t="shared" si="4"/>
        <v>43.240000000000038</v>
      </c>
    </row>
    <row r="155" spans="1:5" x14ac:dyDescent="0.2">
      <c r="A155" s="12">
        <v>46241</v>
      </c>
      <c r="B155" s="18">
        <v>4.6454000000000004</v>
      </c>
      <c r="C155" s="18">
        <v>0.77590000000000003</v>
      </c>
      <c r="D155" s="18">
        <v>4.1951999999999998</v>
      </c>
      <c r="E155" s="19">
        <f t="shared" si="4"/>
        <v>45.02000000000006</v>
      </c>
    </row>
    <row r="156" spans="1:5" x14ac:dyDescent="0.2">
      <c r="A156" s="12">
        <v>46244</v>
      </c>
      <c r="B156" s="18">
        <v>4.7066999999999997</v>
      </c>
      <c r="C156" s="18">
        <v>0.81679999999999997</v>
      </c>
      <c r="D156" s="18">
        <v>4.2409999999999997</v>
      </c>
      <c r="E156" s="19">
        <f t="shared" si="4"/>
        <v>46.57</v>
      </c>
    </row>
    <row r="157" spans="1:5" x14ac:dyDescent="0.2">
      <c r="A157" s="12">
        <v>46245</v>
      </c>
      <c r="B157" s="18">
        <v>4.6882999999999999</v>
      </c>
      <c r="C157" s="18">
        <v>0.81459999999999999</v>
      </c>
      <c r="D157" s="18">
        <v>4.2138</v>
      </c>
      <c r="E157" s="19">
        <f t="shared" si="4"/>
        <v>47.449999999999989</v>
      </c>
    </row>
    <row r="158" spans="1:5" x14ac:dyDescent="0.2">
      <c r="A158" s="12">
        <v>46246</v>
      </c>
      <c r="B158" s="18">
        <v>4.6924999999999999</v>
      </c>
      <c r="C158" s="18">
        <v>0.82199999999999995</v>
      </c>
      <c r="D158" s="18">
        <v>4.2011000000000003</v>
      </c>
      <c r="E158" s="19">
        <f t="shared" si="4"/>
        <v>49.139999999999958</v>
      </c>
    </row>
    <row r="159" spans="1:5" x14ac:dyDescent="0.2">
      <c r="A159" s="12">
        <v>46247</v>
      </c>
      <c r="B159" s="18">
        <v>4.6426999999999996</v>
      </c>
      <c r="C159" s="18">
        <v>0.79969999999999997</v>
      </c>
      <c r="D159" s="18">
        <v>4.1424000000000003</v>
      </c>
      <c r="E159" s="19">
        <f t="shared" si="4"/>
        <v>50.02999999999993</v>
      </c>
    </row>
    <row r="160" spans="1:5" x14ac:dyDescent="0.2">
      <c r="A160" s="12">
        <v>46248</v>
      </c>
      <c r="B160" s="18">
        <v>4.6921999999999997</v>
      </c>
      <c r="C160" s="18">
        <v>0.84809999999999997</v>
      </c>
      <c r="D160" s="18">
        <v>4.1691000000000003</v>
      </c>
      <c r="E160" s="19">
        <f t="shared" si="4"/>
        <v>52.309999999999945</v>
      </c>
    </row>
    <row r="161" spans="1:5" x14ac:dyDescent="0.2">
      <c r="A161" s="12">
        <v>46251</v>
      </c>
      <c r="B161" s="18">
        <v>4.7218999999999998</v>
      </c>
      <c r="C161" s="18">
        <v>0.89039999999999997</v>
      </c>
      <c r="D161" s="18">
        <v>4.1753</v>
      </c>
      <c r="E161" s="19">
        <f t="shared" si="4"/>
        <v>54.659999999999975</v>
      </c>
    </row>
    <row r="162" spans="1:5" x14ac:dyDescent="0.2">
      <c r="A162" s="12">
        <v>46252</v>
      </c>
      <c r="B162" s="18">
        <v>4.7041000000000004</v>
      </c>
      <c r="C162" s="18">
        <v>0.86629999999999996</v>
      </c>
      <c r="D162" s="18">
        <v>4.1708999999999996</v>
      </c>
      <c r="E162" s="19">
        <f t="shared" si="4"/>
        <v>53.320000000000078</v>
      </c>
    </row>
    <row r="163" spans="1:5" x14ac:dyDescent="0.2">
      <c r="A163" s="12">
        <v>46253</v>
      </c>
      <c r="B163" s="18">
        <v>4.6466000000000003</v>
      </c>
      <c r="C163" s="18">
        <v>0.76739999999999997</v>
      </c>
      <c r="D163" s="18">
        <v>4.1623000000000001</v>
      </c>
      <c r="E163" s="19">
        <f t="shared" si="4"/>
        <v>48.430000000000021</v>
      </c>
    </row>
    <row r="164" spans="1:5" x14ac:dyDescent="0.2">
      <c r="A164" s="12">
        <v>46254</v>
      </c>
      <c r="B164" s="18">
        <v>4.7041000000000004</v>
      </c>
      <c r="C164" s="18">
        <v>0.8115</v>
      </c>
      <c r="D164" s="18">
        <v>4.1875</v>
      </c>
      <c r="E164" s="19">
        <f t="shared" si="4"/>
        <v>51.660000000000039</v>
      </c>
    </row>
    <row r="165" spans="1:5" x14ac:dyDescent="0.2">
      <c r="A165" s="12">
        <v>46255</v>
      </c>
      <c r="B165" s="18">
        <v>4.7339000000000002</v>
      </c>
      <c r="C165" s="18">
        <v>0.83550000000000002</v>
      </c>
      <c r="D165" s="18">
        <v>4.2359</v>
      </c>
      <c r="E165" s="19">
        <f t="shared" ref="E165:E196" si="5">IF(OR(B165="",D165=""),"",(B165-D165)*100)</f>
        <v>49.800000000000026</v>
      </c>
    </row>
    <row r="166" spans="1:5" x14ac:dyDescent="0.2">
      <c r="A166" s="12">
        <v>46258</v>
      </c>
      <c r="B166" s="18">
        <v>4.6961000000000004</v>
      </c>
      <c r="C166" s="18">
        <v>0.78380000000000005</v>
      </c>
      <c r="D166" s="18">
        <v>4.2316000000000003</v>
      </c>
      <c r="E166" s="19">
        <f t="shared" si="5"/>
        <v>46.450000000000017</v>
      </c>
    </row>
    <row r="167" spans="1:5" x14ac:dyDescent="0.2">
      <c r="A167" s="12">
        <v>46259</v>
      </c>
      <c r="B167" s="18">
        <v>4.6288</v>
      </c>
      <c r="C167" s="18">
        <v>0.73350000000000004</v>
      </c>
      <c r="D167" s="18">
        <v>4.1741000000000001</v>
      </c>
      <c r="E167" s="19">
        <f t="shared" si="5"/>
        <v>45.469999999999985</v>
      </c>
    </row>
    <row r="168" spans="1:5" x14ac:dyDescent="0.2">
      <c r="A168" s="12">
        <v>46260</v>
      </c>
      <c r="B168" s="18">
        <v>4.6464999999999996</v>
      </c>
      <c r="C168" s="18">
        <v>0.74519999999999997</v>
      </c>
      <c r="D168" s="18">
        <v>4.2092999999999998</v>
      </c>
      <c r="E168" s="19">
        <f t="shared" si="5"/>
        <v>43.719999999999985</v>
      </c>
    </row>
    <row r="169" spans="1:5" x14ac:dyDescent="0.2">
      <c r="A169" s="12">
        <v>46261</v>
      </c>
      <c r="B169" s="18">
        <v>4.6761999999999997</v>
      </c>
      <c r="C169" s="18">
        <v>0.75319999999999998</v>
      </c>
      <c r="D169" s="18">
        <v>4.2320000000000002</v>
      </c>
      <c r="E169" s="19">
        <f t="shared" si="5"/>
        <v>44.419999999999945</v>
      </c>
    </row>
    <row r="170" spans="1:5" x14ac:dyDescent="0.2">
      <c r="A170" s="12">
        <v>46262</v>
      </c>
      <c r="B170" s="18">
        <v>4.718</v>
      </c>
      <c r="C170" s="18">
        <v>0.72360000000000002</v>
      </c>
      <c r="D170" s="18">
        <v>4.3433999999999999</v>
      </c>
      <c r="E170" s="19">
        <f t="shared" si="5"/>
        <v>37.460000000000008</v>
      </c>
    </row>
    <row r="171" spans="1:5" x14ac:dyDescent="0.2">
      <c r="A171" s="12">
        <v>46265</v>
      </c>
      <c r="B171" s="18">
        <v>4.75</v>
      </c>
      <c r="C171" s="18">
        <v>0.75939999999999996</v>
      </c>
      <c r="D171" s="18">
        <v>4.3414999999999999</v>
      </c>
      <c r="E171" s="19">
        <f t="shared" si="5"/>
        <v>40.850000000000009</v>
      </c>
    </row>
    <row r="172" spans="1:5" x14ac:dyDescent="0.2">
      <c r="A172" s="12">
        <v>46266</v>
      </c>
      <c r="B172" s="18">
        <v>4.7980999999999998</v>
      </c>
      <c r="C172" s="18">
        <v>0.77900000000000003</v>
      </c>
      <c r="D172" s="18">
        <v>4.3997999999999999</v>
      </c>
      <c r="E172" s="19">
        <f t="shared" si="5"/>
        <v>39.829999999999984</v>
      </c>
    </row>
    <row r="173" spans="1:5" x14ac:dyDescent="0.2">
      <c r="A173" s="12">
        <v>46267</v>
      </c>
      <c r="B173" s="18">
        <v>4.7779999999999996</v>
      </c>
      <c r="C173" s="18">
        <v>0.7198</v>
      </c>
      <c r="D173" s="18">
        <v>4.3689999999999998</v>
      </c>
      <c r="E173" s="19">
        <f t="shared" si="5"/>
        <v>40.899999999999977</v>
      </c>
    </row>
    <row r="174" spans="1:5" x14ac:dyDescent="0.2">
      <c r="A174" s="12">
        <v>46268</v>
      </c>
      <c r="B174" s="18">
        <v>4.7679999999999998</v>
      </c>
      <c r="C174" s="18">
        <v>0.75349999999999995</v>
      </c>
      <c r="D174" s="18">
        <v>4.3360000000000003</v>
      </c>
      <c r="E174" s="19">
        <f t="shared" si="5"/>
        <v>43.199999999999946</v>
      </c>
    </row>
    <row r="175" spans="1:5" x14ac:dyDescent="0.2">
      <c r="A175" s="12">
        <v>46269</v>
      </c>
      <c r="B175" s="18">
        <v>4.7820999999999998</v>
      </c>
      <c r="C175" s="18">
        <v>0.67669999999999997</v>
      </c>
      <c r="D175" s="18">
        <v>4.3661000000000003</v>
      </c>
      <c r="E175" s="19">
        <f t="shared" si="5"/>
        <v>41.599999999999952</v>
      </c>
    </row>
    <row r="176" spans="1:5" x14ac:dyDescent="0.2">
      <c r="A176" s="12">
        <v>46273</v>
      </c>
      <c r="B176" s="18">
        <v>4.7881999999999998</v>
      </c>
      <c r="C176" s="18">
        <v>0.75580000000000003</v>
      </c>
      <c r="D176" s="18">
        <v>4.3936000000000002</v>
      </c>
      <c r="E176" s="19">
        <f t="shared" si="5"/>
        <v>39.459999999999965</v>
      </c>
    </row>
    <row r="177" spans="1:5" x14ac:dyDescent="0.2">
      <c r="A177" s="12">
        <v>46274</v>
      </c>
      <c r="B177" s="18">
        <v>4.8406000000000002</v>
      </c>
      <c r="C177" s="18">
        <v>0.70340000000000003</v>
      </c>
      <c r="D177" s="18">
        <v>4.4295</v>
      </c>
      <c r="E177" s="19">
        <f t="shared" si="5"/>
        <v>41.110000000000028</v>
      </c>
    </row>
    <row r="178" spans="1:5" x14ac:dyDescent="0.2">
      <c r="A178" s="12">
        <v>46275</v>
      </c>
      <c r="B178" s="18">
        <v>4.9626000000000001</v>
      </c>
      <c r="C178" s="18">
        <v>0.75639999999999996</v>
      </c>
      <c r="D178" s="18">
        <v>4.5856000000000003</v>
      </c>
      <c r="E178" s="19">
        <f t="shared" si="5"/>
        <v>37.699999999999974</v>
      </c>
    </row>
    <row r="179" spans="1:5" x14ac:dyDescent="0.2">
      <c r="A179" s="12">
        <v>46276</v>
      </c>
      <c r="B179" s="18">
        <v>4.9668999999999999</v>
      </c>
      <c r="C179" s="18">
        <v>0.7137</v>
      </c>
      <c r="D179" s="18">
        <v>4.6254</v>
      </c>
      <c r="E179" s="19">
        <f t="shared" si="5"/>
        <v>34.149999999999991</v>
      </c>
    </row>
    <row r="180" spans="1:5" x14ac:dyDescent="0.2">
      <c r="A180" s="12">
        <v>46279</v>
      </c>
      <c r="B180" s="18">
        <v>4.9874999999999998</v>
      </c>
      <c r="C180" s="18">
        <v>0.69310000000000005</v>
      </c>
      <c r="D180" s="18">
        <v>4.6577999999999999</v>
      </c>
      <c r="E180" s="19">
        <f t="shared" si="5"/>
        <v>32.969999999999985</v>
      </c>
    </row>
    <row r="181" spans="1:5" x14ac:dyDescent="0.2">
      <c r="A181" s="12">
        <v>46280</v>
      </c>
      <c r="B181" s="18">
        <v>5.0019</v>
      </c>
      <c r="C181" s="18">
        <v>0.70530000000000004</v>
      </c>
      <c r="D181" s="18">
        <v>4.6627999999999998</v>
      </c>
      <c r="E181" s="19">
        <f t="shared" si="5"/>
        <v>33.910000000000018</v>
      </c>
    </row>
    <row r="182" spans="1:5" x14ac:dyDescent="0.2">
      <c r="A182" s="12">
        <v>46281</v>
      </c>
      <c r="B182" s="18">
        <v>5.0225</v>
      </c>
      <c r="C182" s="18">
        <v>0.66579999999999995</v>
      </c>
      <c r="D182" s="18">
        <v>4.7359</v>
      </c>
      <c r="E182" s="19">
        <f t="shared" si="5"/>
        <v>28.659999999999997</v>
      </c>
    </row>
    <row r="183" spans="1:5" x14ac:dyDescent="0.2">
      <c r="A183" s="12">
        <v>46282</v>
      </c>
      <c r="B183" s="18">
        <v>4.9303999999999997</v>
      </c>
      <c r="C183" s="18">
        <v>0.60680000000000001</v>
      </c>
      <c r="D183" s="18">
        <v>4.6641000000000004</v>
      </c>
      <c r="E183" s="19">
        <f t="shared" si="5"/>
        <v>26.629999999999932</v>
      </c>
    </row>
    <row r="184" spans="1:5" x14ac:dyDescent="0.2">
      <c r="A184" s="12">
        <v>46283</v>
      </c>
      <c r="B184" s="18">
        <v>4.9961000000000002</v>
      </c>
      <c r="C184" s="18">
        <v>0.63200000000000001</v>
      </c>
      <c r="D184" s="18">
        <v>4.7432999999999996</v>
      </c>
      <c r="E184" s="19">
        <f t="shared" si="5"/>
        <v>25.280000000000058</v>
      </c>
    </row>
    <row r="185" spans="1:5" x14ac:dyDescent="0.2">
      <c r="A185" s="12">
        <v>46286</v>
      </c>
      <c r="B185" s="18">
        <v>4.9509999999999996</v>
      </c>
      <c r="C185" s="18">
        <v>0.57579999999999998</v>
      </c>
      <c r="D185" s="18">
        <v>4.7462</v>
      </c>
      <c r="E185" s="19">
        <f t="shared" si="5"/>
        <v>20.479999999999965</v>
      </c>
    </row>
    <row r="186" spans="1:5" x14ac:dyDescent="0.2">
      <c r="A186" s="12">
        <v>46287</v>
      </c>
      <c r="B186" s="18">
        <v>4.9612999999999996</v>
      </c>
      <c r="C186" s="18">
        <v>0.57169999999999999</v>
      </c>
      <c r="D186" s="18">
        <v>4.7534999999999998</v>
      </c>
      <c r="E186" s="19">
        <f t="shared" si="5"/>
        <v>20.779999999999976</v>
      </c>
    </row>
    <row r="187" spans="1:5" x14ac:dyDescent="0.2">
      <c r="A187" s="12">
        <v>46288</v>
      </c>
      <c r="B187" s="18">
        <v>5.1142000000000003</v>
      </c>
      <c r="C187" s="18">
        <v>0.64180000000000004</v>
      </c>
      <c r="D187" s="18">
        <v>4.8973000000000004</v>
      </c>
      <c r="E187" s="19">
        <f t="shared" si="5"/>
        <v>21.689999999999987</v>
      </c>
    </row>
    <row r="188" spans="1:5" x14ac:dyDescent="0.2">
      <c r="A188" s="12">
        <v>46289</v>
      </c>
      <c r="B188" s="18">
        <v>5.1978</v>
      </c>
      <c r="C188" s="18">
        <v>0.72650000000000003</v>
      </c>
      <c r="D188" s="18">
        <v>4.9242999999999997</v>
      </c>
      <c r="E188" s="19">
        <f t="shared" si="5"/>
        <v>27.35000000000003</v>
      </c>
    </row>
    <row r="189" spans="1:5" x14ac:dyDescent="0.2">
      <c r="A189" s="12">
        <v>46290</v>
      </c>
      <c r="B189" s="18">
        <v>5.1604000000000001</v>
      </c>
      <c r="C189" s="18">
        <v>0.77149999999999996</v>
      </c>
      <c r="D189" s="18">
        <v>4.8516000000000004</v>
      </c>
      <c r="E189" s="19">
        <f t="shared" si="5"/>
        <v>30.879999999999974</v>
      </c>
    </row>
    <row r="190" spans="1:5" x14ac:dyDescent="0.2">
      <c r="A190" s="12">
        <v>46293</v>
      </c>
      <c r="B190" s="18">
        <v>5.2361000000000004</v>
      </c>
      <c r="C190" s="18">
        <v>0.78969999999999996</v>
      </c>
      <c r="D190" s="18">
        <v>4.9305000000000003</v>
      </c>
      <c r="E190" s="19">
        <f t="shared" si="5"/>
        <v>30.560000000000009</v>
      </c>
    </row>
    <row r="191" spans="1:5" x14ac:dyDescent="0.2">
      <c r="A191" s="12">
        <v>46294</v>
      </c>
      <c r="B191" s="18">
        <v>5.2362000000000002</v>
      </c>
      <c r="C191" s="18">
        <v>0.84379999999999999</v>
      </c>
      <c r="D191" s="18">
        <v>4.8765000000000001</v>
      </c>
      <c r="E191" s="19">
        <f t="shared" si="5"/>
        <v>35.970000000000013</v>
      </c>
    </row>
    <row r="192" spans="1:5" x14ac:dyDescent="0.2">
      <c r="A192" s="12">
        <v>46295</v>
      </c>
      <c r="B192" s="18">
        <v>5.2849000000000004</v>
      </c>
      <c r="C192" s="18">
        <v>0.88500000000000001</v>
      </c>
      <c r="D192" s="18">
        <v>4.8869999999999996</v>
      </c>
      <c r="E192" s="19">
        <f t="shared" si="5"/>
        <v>39.790000000000077</v>
      </c>
    </row>
    <row r="193" spans="1:5" x14ac:dyDescent="0.2">
      <c r="A193" s="12">
        <v>46296</v>
      </c>
      <c r="B193" s="18">
        <v>5.2407000000000004</v>
      </c>
      <c r="C193" s="18">
        <v>0.90469999999999995</v>
      </c>
      <c r="D193" s="18">
        <v>4.7914000000000003</v>
      </c>
      <c r="E193" s="19">
        <f t="shared" si="5"/>
        <v>44.930000000000007</v>
      </c>
    </row>
    <row r="194" spans="1:5" x14ac:dyDescent="0.2">
      <c r="A194" s="12">
        <v>46297</v>
      </c>
      <c r="B194" s="18">
        <v>5.2706</v>
      </c>
      <c r="C194" s="18">
        <v>0.91369999999999996</v>
      </c>
      <c r="D194" s="18">
        <v>4.8247</v>
      </c>
      <c r="E194" s="19">
        <f t="shared" si="5"/>
        <v>44.589999999999996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4"/>
  <sheetViews>
    <sheetView showGridLines="0" workbookViewId="0"/>
  </sheetViews>
  <sheetFormatPr baseColWidth="10" defaultColWidth="8.83203125" defaultRowHeight="15" x14ac:dyDescent="0.2"/>
  <cols>
    <col min="1" max="1" width="12" customWidth="1"/>
    <col min="2" max="7" width="11" customWidth="1"/>
    <col min="10" max="10" width="28" customWidth="1"/>
    <col min="11" max="11" width="12" customWidth="1"/>
    <col min="12" max="12" width="15" customWidth="1"/>
    <col min="13" max="13" width="10" customWidth="1"/>
  </cols>
  <sheetData>
    <row r="1" spans="1:13" ht="18" x14ac:dyDescent="0.2">
      <c r="A1" s="1" t="s">
        <v>87</v>
      </c>
    </row>
    <row r="2" spans="1:13" x14ac:dyDescent="0.2">
      <c r="A2" s="2" t="s">
        <v>88</v>
      </c>
    </row>
    <row r="4" spans="1:13" x14ac:dyDescent="0.2">
      <c r="A4" s="10" t="s">
        <v>64</v>
      </c>
      <c r="B4" s="10" t="s">
        <v>89</v>
      </c>
      <c r="C4" s="10" t="s">
        <v>90</v>
      </c>
      <c r="D4" s="10" t="s">
        <v>91</v>
      </c>
      <c r="E4" s="10" t="s">
        <v>92</v>
      </c>
      <c r="F4" s="10" t="s">
        <v>93</v>
      </c>
      <c r="G4" s="10" t="s">
        <v>94</v>
      </c>
      <c r="J4" s="20" t="s">
        <v>95</v>
      </c>
      <c r="K4" s="12">
        <v>46022</v>
      </c>
    </row>
    <row r="5" spans="1:13" x14ac:dyDescent="0.2">
      <c r="A5" s="12">
        <v>46022</v>
      </c>
      <c r="B5" s="23">
        <v>7083.1310000000003</v>
      </c>
      <c r="C5" s="23">
        <v>313.8</v>
      </c>
      <c r="D5" s="23">
        <v>483.62</v>
      </c>
      <c r="E5" s="23">
        <v>230.82</v>
      </c>
      <c r="F5" s="23">
        <v>660.09</v>
      </c>
      <c r="G5" s="23">
        <v>194.91</v>
      </c>
      <c r="J5" s="20" t="s">
        <v>96</v>
      </c>
      <c r="K5" s="12">
        <v>46203</v>
      </c>
    </row>
    <row r="6" spans="1:13" x14ac:dyDescent="0.2">
      <c r="A6" s="12">
        <v>46024</v>
      </c>
      <c r="B6" s="23">
        <v>7367.473</v>
      </c>
      <c r="C6" s="23">
        <v>315.32</v>
      </c>
      <c r="D6" s="23">
        <v>472.94</v>
      </c>
      <c r="E6" s="23">
        <v>226.5</v>
      </c>
      <c r="F6" s="23">
        <v>650.41</v>
      </c>
      <c r="G6" s="23">
        <v>195.71</v>
      </c>
      <c r="J6" s="20" t="s">
        <v>97</v>
      </c>
      <c r="K6" s="12">
        <v>46290</v>
      </c>
    </row>
    <row r="7" spans="1:13" x14ac:dyDescent="0.2">
      <c r="A7" s="12">
        <v>46027</v>
      </c>
      <c r="B7" s="23">
        <v>7446.4539999999997</v>
      </c>
      <c r="C7" s="23">
        <v>317.32</v>
      </c>
      <c r="D7" s="23">
        <v>472.85</v>
      </c>
      <c r="E7" s="23">
        <v>233.06</v>
      </c>
      <c r="F7" s="23">
        <v>658.79</v>
      </c>
      <c r="G7" s="23">
        <v>192.59</v>
      </c>
      <c r="J7" s="20" t="s">
        <v>71</v>
      </c>
      <c r="K7" s="12">
        <v>46297</v>
      </c>
    </row>
    <row r="8" spans="1:13" x14ac:dyDescent="0.2">
      <c r="A8" s="12">
        <v>46028</v>
      </c>
      <c r="B8" s="23">
        <v>7650.9290000000001</v>
      </c>
      <c r="C8" s="23">
        <v>314.55</v>
      </c>
      <c r="D8" s="23">
        <v>478.51</v>
      </c>
      <c r="E8" s="23">
        <v>240.93</v>
      </c>
      <c r="F8" s="23">
        <v>660.62</v>
      </c>
      <c r="G8" s="23">
        <v>193.75</v>
      </c>
    </row>
    <row r="9" spans="1:13" x14ac:dyDescent="0.2">
      <c r="A9" s="12">
        <v>46029</v>
      </c>
      <c r="B9" s="23">
        <v>7574.8720000000003</v>
      </c>
      <c r="C9" s="23">
        <v>322.43</v>
      </c>
      <c r="D9" s="23">
        <v>483.47</v>
      </c>
      <c r="E9" s="23">
        <v>241.56</v>
      </c>
      <c r="F9" s="23">
        <v>648.69000000000005</v>
      </c>
      <c r="G9" s="23">
        <v>192.84</v>
      </c>
      <c r="J9" s="10" t="s">
        <v>98</v>
      </c>
      <c r="K9" s="10" t="s">
        <v>99</v>
      </c>
      <c r="L9" s="10" t="s">
        <v>78</v>
      </c>
      <c r="M9" s="10" t="s">
        <v>100</v>
      </c>
    </row>
    <row r="10" spans="1:13" x14ac:dyDescent="0.2">
      <c r="A10" s="12">
        <v>46030</v>
      </c>
      <c r="B10" s="23">
        <v>7436.098</v>
      </c>
      <c r="C10" s="23">
        <v>326.01</v>
      </c>
      <c r="D10" s="23">
        <v>478.11</v>
      </c>
      <c r="E10" s="23">
        <v>246.29</v>
      </c>
      <c r="F10" s="23">
        <v>646.05999999999995</v>
      </c>
      <c r="G10" s="23">
        <v>189.65</v>
      </c>
      <c r="J10" s="20" t="s">
        <v>89</v>
      </c>
      <c r="K10" s="16">
        <f>INDEX($B$5:$B$194,MATCH($K$7,$A$5:$A$194,0))/INDEX($B$5:$B$194,MATCH($K$4,$A$5:$A$194,0))-1</f>
        <v>0.85464168317654998</v>
      </c>
      <c r="L10" s="16">
        <f>INDEX($B$5:$B$194,MATCH($K$7,$A$5:$A$194,0))/INDEX($B$5:$B$194,MATCH($K$5,$A$5:$A$194,0))-1</f>
        <v>-7.793171315143721E-2</v>
      </c>
      <c r="M10" s="16">
        <f>INDEX($B$5:$B$194,MATCH($K$7,$A$5:$A$194,0))/INDEX($B$5:$B$194,MATCH($K$6,$A$5:$A$194,0))-1</f>
        <v>3.692024504042557E-2</v>
      </c>
    </row>
    <row r="11" spans="1:13" x14ac:dyDescent="0.2">
      <c r="A11" s="12">
        <v>46031</v>
      </c>
      <c r="B11" s="23">
        <v>7638.7790000000005</v>
      </c>
      <c r="C11" s="23">
        <v>329.14</v>
      </c>
      <c r="D11" s="23">
        <v>479.28</v>
      </c>
      <c r="E11" s="23">
        <v>247.38</v>
      </c>
      <c r="F11" s="23">
        <v>653.05999999999995</v>
      </c>
      <c r="G11" s="23">
        <v>198.52</v>
      </c>
      <c r="J11" s="20" t="s">
        <v>90</v>
      </c>
      <c r="K11" s="14">
        <f>INDEX($C$5:$C$194,MATCH($K$7,$A$5:$A$194,0))/INDEX($C$5:$C$194,MATCH($K$4,$A$5:$A$194,0))-1</f>
        <v>8.4608030592734362E-2</v>
      </c>
      <c r="L11" s="16">
        <f>INDEX($C$5:$C$194,MATCH($K$7,$A$5:$A$194,0))/INDEX($C$5:$C$194,MATCH($K$5,$A$5:$A$194,0))-1</f>
        <v>-3.6736195624486934E-2</v>
      </c>
      <c r="M11" s="14">
        <f>INDEX($C$5:$C$194,MATCH($K$7,$A$5:$A$194,0))/INDEX($C$5:$C$194,MATCH($K$6,$A$5:$A$194,0))-1</f>
        <v>-2.140260349478007E-3</v>
      </c>
    </row>
    <row r="12" spans="1:13" x14ac:dyDescent="0.2">
      <c r="A12" s="12">
        <v>46034</v>
      </c>
      <c r="B12" s="23">
        <v>7674.8360000000002</v>
      </c>
      <c r="C12" s="23">
        <v>332.73</v>
      </c>
      <c r="D12" s="23">
        <v>477.18</v>
      </c>
      <c r="E12" s="23">
        <v>246.47</v>
      </c>
      <c r="F12" s="23">
        <v>641.97</v>
      </c>
      <c r="G12" s="23">
        <v>204.68</v>
      </c>
      <c r="J12" s="20" t="s">
        <v>91</v>
      </c>
      <c r="K12" s="14">
        <f>INDEX($D$5:$D$194,MATCH($K$7,$A$5:$A$194,0))/INDEX($D$5:$D$194,MATCH($K$4,$A$5:$A$194,0))-1</f>
        <v>7.0117034034986148E-2</v>
      </c>
      <c r="L12" s="14">
        <f>INDEX($D$5:$D$194,MATCH($K$7,$A$5:$A$194,0))/INDEX($D$5:$D$194,MATCH($K$5,$A$5:$A$194,0))-1</f>
        <v>0.38740550104552041</v>
      </c>
      <c r="M12" s="14">
        <f>INDEX($D$5:$D$194,MATCH($K$7,$A$5:$A$194,0))/INDEX($D$5:$D$194,MATCH($K$6,$A$5:$A$194,0))-1</f>
        <v>2.6347908634751782E-3</v>
      </c>
    </row>
    <row r="13" spans="1:13" x14ac:dyDescent="0.2">
      <c r="A13" s="12">
        <v>46035</v>
      </c>
      <c r="B13" s="23">
        <v>7747.9930000000004</v>
      </c>
      <c r="C13" s="23">
        <v>336.43</v>
      </c>
      <c r="D13" s="23">
        <v>470.67</v>
      </c>
      <c r="E13" s="23">
        <v>242.6</v>
      </c>
      <c r="F13" s="23">
        <v>631.09</v>
      </c>
      <c r="G13" s="23">
        <v>202.29</v>
      </c>
      <c r="J13" s="20" t="s">
        <v>92</v>
      </c>
      <c r="K13" s="14">
        <f>INDEX($E$5:$E$194,MATCH($K$7,$A$5:$A$194,0))/INDEX($E$5:$E$194,MATCH($K$4,$A$5:$A$194,0))-1</f>
        <v>8.9680270340525059E-2</v>
      </c>
      <c r="L13" s="14">
        <f>INDEX($E$5:$E$194,MATCH($K$7,$A$5:$A$194,0))/INDEX($E$5:$E$194,MATCH($K$5,$A$5:$A$194,0))-1</f>
        <v>5.5299152471259605E-2</v>
      </c>
      <c r="M13" s="14">
        <f>INDEX($E$5:$E$194,MATCH($K$7,$A$5:$A$194,0))/INDEX($E$5:$E$194,MATCH($K$6,$A$5:$A$194,0))-1</f>
        <v>7.4097809108022439E-3</v>
      </c>
    </row>
    <row r="14" spans="1:13" x14ac:dyDescent="0.2">
      <c r="A14" s="12">
        <v>46036</v>
      </c>
      <c r="B14" s="23">
        <v>7701.4750000000004</v>
      </c>
      <c r="C14" s="23">
        <v>336.31</v>
      </c>
      <c r="D14" s="23">
        <v>459.38</v>
      </c>
      <c r="E14" s="23">
        <v>236.65</v>
      </c>
      <c r="F14" s="23">
        <v>615.52</v>
      </c>
      <c r="G14" s="23">
        <v>193.61</v>
      </c>
      <c r="J14" s="20" t="s">
        <v>93</v>
      </c>
      <c r="K14" s="14">
        <f>INDEX($F$5:$F$194,MATCH($K$7,$A$5:$A$194,0))/INDEX($F$5:$F$194,MATCH($K$4,$A$5:$A$194,0))-1</f>
        <v>0.10300110590980016</v>
      </c>
      <c r="L14" s="16">
        <f>INDEX($F$5:$F$194,MATCH($K$7,$A$5:$A$194,0))/INDEX($F$5:$F$194,MATCH($K$5,$A$5:$A$194,0))-1</f>
        <v>0.29254913099824265</v>
      </c>
      <c r="M14" s="14">
        <f>INDEX($F$5:$F$194,MATCH($K$7,$A$5:$A$194,0))/INDEX($F$5:$F$194,MATCH($K$6,$A$5:$A$194,0))-1</f>
        <v>-3.1370566479525186E-2</v>
      </c>
    </row>
    <row r="15" spans="1:13" x14ac:dyDescent="0.2">
      <c r="A15" s="12">
        <v>46037</v>
      </c>
      <c r="B15" s="23">
        <v>7837.2979999999998</v>
      </c>
      <c r="C15" s="23">
        <v>333.16</v>
      </c>
      <c r="D15" s="23">
        <v>456.66</v>
      </c>
      <c r="E15" s="23">
        <v>238.18</v>
      </c>
      <c r="F15" s="23">
        <v>620.79999999999995</v>
      </c>
      <c r="G15" s="23">
        <v>189.85</v>
      </c>
      <c r="J15" s="20" t="s">
        <v>94</v>
      </c>
      <c r="K15" s="16">
        <f>INDEX($G$5:$G$194,MATCH($K$7,$A$5:$A$194,0))/INDEX($G$5:$G$194,MATCH($K$4,$A$5:$A$194,0))-1</f>
        <v>-0.26991945000256523</v>
      </c>
      <c r="L15" s="16">
        <f>INDEX($G$5:$G$194,MATCH($K$7,$A$5:$A$194,0))/INDEX($G$5:$G$194,MATCH($K$5,$A$5:$A$194,0))-1</f>
        <v>-2.9000341180484446E-2</v>
      </c>
      <c r="M15" s="14">
        <f>INDEX($G$5:$G$194,MATCH($K$7,$A$5:$A$194,0))/INDEX($G$5:$G$194,MATCH($K$6,$A$5:$A$194,0))-1</f>
        <v>3.7928519328957133E-2</v>
      </c>
    </row>
    <row r="16" spans="1:13" x14ac:dyDescent="0.2">
      <c r="A16" s="12">
        <v>46038</v>
      </c>
      <c r="B16" s="23">
        <v>7927.4080000000004</v>
      </c>
      <c r="C16" s="23">
        <v>330.34</v>
      </c>
      <c r="D16" s="23">
        <v>459.86</v>
      </c>
      <c r="E16" s="23">
        <v>239.12</v>
      </c>
      <c r="F16" s="23">
        <v>620.25</v>
      </c>
      <c r="G16" s="23">
        <v>191.09</v>
      </c>
      <c r="J16" s="24" t="s">
        <v>101</v>
      </c>
      <c r="K16" s="16">
        <f>AVERAGE(K11:K15)</f>
        <v>1.54973981750961E-2</v>
      </c>
      <c r="L16" s="16">
        <f>AVERAGE(L11:L15)</f>
        <v>0.13390344954201025</v>
      </c>
      <c r="M16" s="14">
        <f>AVERAGE(M11:M15)</f>
        <v>2.8924528548462725E-3</v>
      </c>
    </row>
    <row r="17" spans="1:11" x14ac:dyDescent="0.2">
      <c r="A17" s="12">
        <v>46042</v>
      </c>
      <c r="B17" s="23">
        <v>7794.19</v>
      </c>
      <c r="C17" s="23">
        <v>322.16000000000003</v>
      </c>
      <c r="D17" s="23">
        <v>454.52</v>
      </c>
      <c r="E17" s="23">
        <v>231</v>
      </c>
      <c r="F17" s="23">
        <v>604.12</v>
      </c>
      <c r="G17" s="23">
        <v>179.92</v>
      </c>
    </row>
    <row r="18" spans="1:11" x14ac:dyDescent="0.2">
      <c r="A18" s="12">
        <v>46043</v>
      </c>
      <c r="B18" s="23">
        <v>8042.07</v>
      </c>
      <c r="C18" s="23">
        <v>328.38</v>
      </c>
      <c r="D18" s="23">
        <v>444.11</v>
      </c>
      <c r="E18" s="23">
        <v>231.31</v>
      </c>
      <c r="F18" s="23">
        <v>612.96</v>
      </c>
      <c r="G18" s="23">
        <v>173.88</v>
      </c>
      <c r="J18" s="10" t="s">
        <v>102</v>
      </c>
      <c r="K18" s="10" t="s">
        <v>99</v>
      </c>
    </row>
    <row r="19" spans="1:11" x14ac:dyDescent="0.2">
      <c r="A19" s="12">
        <v>46044</v>
      </c>
      <c r="B19" s="23">
        <v>8055.1729999999998</v>
      </c>
      <c r="C19" s="23">
        <v>330.84</v>
      </c>
      <c r="D19" s="23">
        <v>451.14</v>
      </c>
      <c r="E19" s="23">
        <v>234.34</v>
      </c>
      <c r="F19" s="23">
        <v>647.63</v>
      </c>
      <c r="G19" s="23">
        <v>178.18</v>
      </c>
      <c r="J19" s="20" t="s">
        <v>89</v>
      </c>
      <c r="K19" s="14">
        <f>K10</f>
        <v>0.85464168317654998</v>
      </c>
    </row>
    <row r="20" spans="1:11" x14ac:dyDescent="0.2">
      <c r="A20" s="12">
        <v>46045</v>
      </c>
      <c r="B20" s="23">
        <v>7957.9260000000004</v>
      </c>
      <c r="C20" s="23">
        <v>328.43</v>
      </c>
      <c r="D20" s="23">
        <v>465.95</v>
      </c>
      <c r="E20" s="23">
        <v>239.16</v>
      </c>
      <c r="F20" s="23">
        <v>658.76</v>
      </c>
      <c r="G20" s="23">
        <v>177.16</v>
      </c>
      <c r="J20" s="20" t="s">
        <v>103</v>
      </c>
      <c r="K20" s="14">
        <f>K16</f>
        <v>1.54973981750961E-2</v>
      </c>
    </row>
    <row r="21" spans="1:11" x14ac:dyDescent="0.2">
      <c r="A21" s="12">
        <v>46048</v>
      </c>
      <c r="B21" s="23">
        <v>7927.0410000000002</v>
      </c>
      <c r="C21" s="23">
        <v>333.59</v>
      </c>
      <c r="D21" s="23">
        <v>470.28</v>
      </c>
      <c r="E21" s="23">
        <v>238.42</v>
      </c>
      <c r="F21" s="23">
        <v>672.36</v>
      </c>
      <c r="G21" s="23">
        <v>182.44</v>
      </c>
      <c r="J21" s="20" t="s">
        <v>93</v>
      </c>
      <c r="K21" s="14">
        <f>K14</f>
        <v>0.10300110590980016</v>
      </c>
    </row>
    <row r="22" spans="1:11" x14ac:dyDescent="0.2">
      <c r="A22" s="12">
        <v>46049</v>
      </c>
      <c r="B22" s="23">
        <v>8117.1809999999996</v>
      </c>
      <c r="C22" s="23">
        <v>335</v>
      </c>
      <c r="D22" s="23">
        <v>480.58</v>
      </c>
      <c r="E22" s="23">
        <v>244.68</v>
      </c>
      <c r="F22" s="23">
        <v>672.97</v>
      </c>
      <c r="G22" s="23">
        <v>174.9</v>
      </c>
      <c r="J22" s="20" t="s">
        <v>92</v>
      </c>
      <c r="K22" s="14">
        <f>K13</f>
        <v>8.9680270340525059E-2</v>
      </c>
    </row>
    <row r="23" spans="1:11" x14ac:dyDescent="0.2">
      <c r="A23" s="12">
        <v>46050</v>
      </c>
      <c r="B23" s="23">
        <v>8306.7420000000002</v>
      </c>
      <c r="C23" s="23">
        <v>336.28</v>
      </c>
      <c r="D23" s="23">
        <v>481.63</v>
      </c>
      <c r="E23" s="23">
        <v>243.01</v>
      </c>
      <c r="F23" s="23">
        <v>668.73</v>
      </c>
      <c r="G23" s="23">
        <v>172.8</v>
      </c>
      <c r="J23" s="20" t="s">
        <v>90</v>
      </c>
      <c r="K23" s="14">
        <f>K11</f>
        <v>8.4608030592734362E-2</v>
      </c>
    </row>
    <row r="24" spans="1:11" x14ac:dyDescent="0.2">
      <c r="A24" s="12">
        <v>46051</v>
      </c>
      <c r="B24" s="23">
        <v>8320.39</v>
      </c>
      <c r="C24" s="23">
        <v>338.66</v>
      </c>
      <c r="D24" s="23">
        <v>433.5</v>
      </c>
      <c r="E24" s="23">
        <v>241.73</v>
      </c>
      <c r="F24" s="23">
        <v>738.31</v>
      </c>
      <c r="G24" s="23">
        <v>169.01</v>
      </c>
      <c r="J24" s="20" t="s">
        <v>91</v>
      </c>
      <c r="K24" s="14">
        <f>K12</f>
        <v>7.0117034034986148E-2</v>
      </c>
    </row>
    <row r="25" spans="1:11" x14ac:dyDescent="0.2">
      <c r="A25" s="12">
        <v>46052</v>
      </c>
      <c r="B25" s="23">
        <v>7998.473</v>
      </c>
      <c r="C25" s="23">
        <v>338.53</v>
      </c>
      <c r="D25" s="23">
        <v>430.29</v>
      </c>
      <c r="E25" s="23">
        <v>239.3</v>
      </c>
      <c r="F25" s="23">
        <v>716.5</v>
      </c>
      <c r="G25" s="23">
        <v>164.58</v>
      </c>
      <c r="J25" s="20" t="s">
        <v>94</v>
      </c>
      <c r="K25" s="14">
        <f>K15</f>
        <v>-0.26991945000256523</v>
      </c>
    </row>
    <row r="26" spans="1:11" x14ac:dyDescent="0.2">
      <c r="A26" s="12">
        <v>46055</v>
      </c>
      <c r="B26" s="23">
        <v>8134.4880000000003</v>
      </c>
      <c r="C26" s="23">
        <v>344.9</v>
      </c>
      <c r="D26" s="23">
        <v>423.37</v>
      </c>
      <c r="E26" s="23">
        <v>242.96</v>
      </c>
      <c r="F26" s="23">
        <v>706.41</v>
      </c>
      <c r="G26" s="23">
        <v>160.06</v>
      </c>
    </row>
    <row r="27" spans="1:11" x14ac:dyDescent="0.2">
      <c r="A27" s="12">
        <v>46056</v>
      </c>
      <c r="B27" s="23">
        <v>7966.3339999999998</v>
      </c>
      <c r="C27" s="23">
        <v>340.7</v>
      </c>
      <c r="D27" s="23">
        <v>411.21</v>
      </c>
      <c r="E27" s="23">
        <v>238.62</v>
      </c>
      <c r="F27" s="23">
        <v>691.7</v>
      </c>
      <c r="G27" s="23">
        <v>154.66999999999999</v>
      </c>
    </row>
    <row r="28" spans="1:11" x14ac:dyDescent="0.2">
      <c r="A28" s="12">
        <v>46057</v>
      </c>
      <c r="B28" s="23">
        <v>7619.1559999999999</v>
      </c>
      <c r="C28" s="23">
        <v>333.34</v>
      </c>
      <c r="D28" s="23">
        <v>414.19</v>
      </c>
      <c r="E28" s="23">
        <v>232.99</v>
      </c>
      <c r="F28" s="23">
        <v>668.99</v>
      </c>
      <c r="G28" s="23">
        <v>146.66999999999999</v>
      </c>
    </row>
    <row r="29" spans="1:11" x14ac:dyDescent="0.2">
      <c r="A29" s="12">
        <v>46058</v>
      </c>
      <c r="B29" s="23">
        <v>7614.6379999999999</v>
      </c>
      <c r="C29" s="23">
        <v>331.33</v>
      </c>
      <c r="D29" s="23">
        <v>393.67</v>
      </c>
      <c r="E29" s="23">
        <v>222.69</v>
      </c>
      <c r="F29" s="23">
        <v>670.21</v>
      </c>
      <c r="G29" s="23">
        <v>136.47999999999999</v>
      </c>
    </row>
    <row r="30" spans="1:11" x14ac:dyDescent="0.2">
      <c r="A30" s="12">
        <v>46059</v>
      </c>
      <c r="B30" s="23">
        <v>8048.625</v>
      </c>
      <c r="C30" s="23">
        <v>323.10000000000002</v>
      </c>
      <c r="D30" s="23">
        <v>401.14</v>
      </c>
      <c r="E30" s="23">
        <v>210.32</v>
      </c>
      <c r="F30" s="23">
        <v>661.46</v>
      </c>
      <c r="G30" s="23">
        <v>142.82</v>
      </c>
    </row>
    <row r="31" spans="1:11" x14ac:dyDescent="0.2">
      <c r="A31" s="12">
        <v>46062</v>
      </c>
      <c r="B31" s="23">
        <v>8162.58</v>
      </c>
      <c r="C31" s="23">
        <v>324.39999999999998</v>
      </c>
      <c r="D31" s="23">
        <v>413.6</v>
      </c>
      <c r="E31" s="23">
        <v>208.72</v>
      </c>
      <c r="F31" s="23">
        <v>677.22</v>
      </c>
      <c r="G31" s="23">
        <v>156.59</v>
      </c>
    </row>
    <row r="32" spans="1:11" x14ac:dyDescent="0.2">
      <c r="A32" s="12">
        <v>46063</v>
      </c>
      <c r="B32" s="23">
        <v>8107.1319999999996</v>
      </c>
      <c r="C32" s="23">
        <v>318.63</v>
      </c>
      <c r="D32" s="23">
        <v>413.27</v>
      </c>
      <c r="E32" s="23">
        <v>206.96</v>
      </c>
      <c r="F32" s="23">
        <v>670.72</v>
      </c>
      <c r="G32" s="23">
        <v>159.88999999999999</v>
      </c>
    </row>
    <row r="33" spans="1:7" x14ac:dyDescent="0.2">
      <c r="A33" s="12">
        <v>46064</v>
      </c>
      <c r="B33" s="23">
        <v>8291.8610000000008</v>
      </c>
      <c r="C33" s="23">
        <v>311.33</v>
      </c>
      <c r="D33" s="23">
        <v>404.37</v>
      </c>
      <c r="E33" s="23">
        <v>204.08</v>
      </c>
      <c r="F33" s="23">
        <v>668.69</v>
      </c>
      <c r="G33" s="23">
        <v>157.16</v>
      </c>
    </row>
    <row r="34" spans="1:7" x14ac:dyDescent="0.2">
      <c r="A34" s="12">
        <v>46065</v>
      </c>
      <c r="B34" s="23">
        <v>8084.7</v>
      </c>
      <c r="C34" s="23">
        <v>309.37</v>
      </c>
      <c r="D34" s="23">
        <v>401.84</v>
      </c>
      <c r="E34" s="23">
        <v>199.6</v>
      </c>
      <c r="F34" s="23">
        <v>649.80999999999995</v>
      </c>
      <c r="G34" s="23">
        <v>156.47999999999999</v>
      </c>
    </row>
    <row r="35" spans="1:7" x14ac:dyDescent="0.2">
      <c r="A35" s="12">
        <v>46066</v>
      </c>
      <c r="B35" s="23">
        <v>8137.8590000000004</v>
      </c>
      <c r="C35" s="23">
        <v>306.02</v>
      </c>
      <c r="D35" s="23">
        <v>401.32</v>
      </c>
      <c r="E35" s="23">
        <v>198.79</v>
      </c>
      <c r="F35" s="23">
        <v>639.77</v>
      </c>
      <c r="G35" s="23">
        <v>160.13999999999999</v>
      </c>
    </row>
    <row r="36" spans="1:7" x14ac:dyDescent="0.2">
      <c r="A36" s="12">
        <v>46070</v>
      </c>
      <c r="B36" s="23">
        <v>8136.0450000000001</v>
      </c>
      <c r="C36" s="23">
        <v>302.82</v>
      </c>
      <c r="D36" s="23">
        <v>396.86</v>
      </c>
      <c r="E36" s="23">
        <v>201.15</v>
      </c>
      <c r="F36" s="23">
        <v>639.29</v>
      </c>
      <c r="G36" s="23">
        <v>153.97</v>
      </c>
    </row>
    <row r="37" spans="1:7" x14ac:dyDescent="0.2">
      <c r="A37" s="12">
        <v>46071</v>
      </c>
      <c r="B37" s="23">
        <v>8214.3539999999994</v>
      </c>
      <c r="C37" s="23">
        <v>303.94</v>
      </c>
      <c r="D37" s="23">
        <v>399.6</v>
      </c>
      <c r="E37" s="23">
        <v>204.79</v>
      </c>
      <c r="F37" s="23">
        <v>643.22</v>
      </c>
      <c r="G37" s="23">
        <v>156.16999999999999</v>
      </c>
    </row>
    <row r="38" spans="1:7" x14ac:dyDescent="0.2">
      <c r="A38" s="12">
        <v>46072</v>
      </c>
      <c r="B38" s="23">
        <v>8173.3040000000001</v>
      </c>
      <c r="C38" s="23">
        <v>303.56</v>
      </c>
      <c r="D38" s="23">
        <v>398.46</v>
      </c>
      <c r="E38" s="23">
        <v>204.86</v>
      </c>
      <c r="F38" s="23">
        <v>644.78</v>
      </c>
      <c r="G38" s="23">
        <v>156.54</v>
      </c>
    </row>
    <row r="39" spans="1:7" x14ac:dyDescent="0.2">
      <c r="A39" s="12">
        <v>46073</v>
      </c>
      <c r="B39" s="23">
        <v>8260.4150000000009</v>
      </c>
      <c r="C39" s="23">
        <v>314.89999999999998</v>
      </c>
      <c r="D39" s="23">
        <v>397.23</v>
      </c>
      <c r="E39" s="23">
        <v>210.11</v>
      </c>
      <c r="F39" s="23">
        <v>655.66</v>
      </c>
      <c r="G39" s="23">
        <v>148.08000000000001</v>
      </c>
    </row>
    <row r="40" spans="1:7" x14ac:dyDescent="0.2">
      <c r="A40" s="12">
        <v>46076</v>
      </c>
      <c r="B40" s="23">
        <v>8213.4570000000003</v>
      </c>
      <c r="C40" s="23">
        <v>311.69</v>
      </c>
      <c r="D40" s="23">
        <v>384.47</v>
      </c>
      <c r="E40" s="23">
        <v>205.27</v>
      </c>
      <c r="F40" s="23">
        <v>637.25</v>
      </c>
      <c r="G40" s="23">
        <v>141.31</v>
      </c>
    </row>
    <row r="41" spans="1:7" x14ac:dyDescent="0.2">
      <c r="A41" s="12">
        <v>46077</v>
      </c>
      <c r="B41" s="23">
        <v>8332.3439999999991</v>
      </c>
      <c r="C41" s="23">
        <v>310.92</v>
      </c>
      <c r="D41" s="23">
        <v>389</v>
      </c>
      <c r="E41" s="23">
        <v>208.56</v>
      </c>
      <c r="F41" s="23">
        <v>639.29999999999995</v>
      </c>
      <c r="G41" s="23">
        <v>146.13999999999999</v>
      </c>
    </row>
    <row r="42" spans="1:7" x14ac:dyDescent="0.2">
      <c r="A42" s="12">
        <v>46078</v>
      </c>
      <c r="B42" s="23">
        <v>8467.43</v>
      </c>
      <c r="C42" s="23">
        <v>313.02999999999997</v>
      </c>
      <c r="D42" s="23">
        <v>400.6</v>
      </c>
      <c r="E42" s="23">
        <v>210.64</v>
      </c>
      <c r="F42" s="23">
        <v>653.69000000000005</v>
      </c>
      <c r="G42" s="23">
        <v>147.88999999999999</v>
      </c>
    </row>
    <row r="43" spans="1:7" x14ac:dyDescent="0.2">
      <c r="A43" s="12">
        <v>46079</v>
      </c>
      <c r="B43" s="23">
        <v>8197.26</v>
      </c>
      <c r="C43" s="23">
        <v>307.14999999999998</v>
      </c>
      <c r="D43" s="23">
        <v>401.72</v>
      </c>
      <c r="E43" s="23">
        <v>207.92</v>
      </c>
      <c r="F43" s="23">
        <v>657.01</v>
      </c>
      <c r="G43" s="23">
        <v>150.31</v>
      </c>
    </row>
    <row r="44" spans="1:7" x14ac:dyDescent="0.2">
      <c r="A44" s="12">
        <v>46080</v>
      </c>
      <c r="B44" s="23">
        <v>8098.3710000000001</v>
      </c>
      <c r="C44" s="23">
        <v>311.43</v>
      </c>
      <c r="D44" s="23">
        <v>392.74</v>
      </c>
      <c r="E44" s="23">
        <v>210</v>
      </c>
      <c r="F44" s="23">
        <v>648.17999999999995</v>
      </c>
      <c r="G44" s="23">
        <v>145.4</v>
      </c>
    </row>
    <row r="45" spans="1:7" x14ac:dyDescent="0.2">
      <c r="A45" s="12">
        <v>46083</v>
      </c>
      <c r="B45" s="23">
        <v>8137.357</v>
      </c>
      <c r="C45" s="23">
        <v>306.36</v>
      </c>
      <c r="D45" s="23">
        <v>398.55</v>
      </c>
      <c r="E45" s="23">
        <v>208.39</v>
      </c>
      <c r="F45" s="23">
        <v>653.55999999999995</v>
      </c>
      <c r="G45" s="23">
        <v>149.25</v>
      </c>
    </row>
    <row r="46" spans="1:7" x14ac:dyDescent="0.2">
      <c r="A46" s="12">
        <v>46084</v>
      </c>
      <c r="B46" s="23">
        <v>7764.8819999999996</v>
      </c>
      <c r="C46" s="23">
        <v>303.56</v>
      </c>
      <c r="D46" s="23">
        <v>403.93</v>
      </c>
      <c r="E46" s="23">
        <v>208.73</v>
      </c>
      <c r="F46" s="23">
        <v>655.08000000000004</v>
      </c>
      <c r="G46" s="23">
        <v>149.01</v>
      </c>
    </row>
    <row r="47" spans="1:7" x14ac:dyDescent="0.2">
      <c r="A47" s="12">
        <v>46085</v>
      </c>
      <c r="B47" s="23">
        <v>7914.4780000000001</v>
      </c>
      <c r="C47" s="23">
        <v>303.45</v>
      </c>
      <c r="D47" s="23">
        <v>405.2</v>
      </c>
      <c r="E47" s="23">
        <v>216.82</v>
      </c>
      <c r="F47" s="23">
        <v>667.73</v>
      </c>
      <c r="G47" s="23">
        <v>152.37</v>
      </c>
    </row>
    <row r="48" spans="1:7" x14ac:dyDescent="0.2">
      <c r="A48" s="12">
        <v>46086</v>
      </c>
      <c r="B48" s="23">
        <v>7821.7610000000004</v>
      </c>
      <c r="C48" s="23">
        <v>300.91000000000003</v>
      </c>
      <c r="D48" s="23">
        <v>410.68</v>
      </c>
      <c r="E48" s="23">
        <v>218.94</v>
      </c>
      <c r="F48" s="23">
        <v>660.57</v>
      </c>
      <c r="G48" s="23">
        <v>154.79</v>
      </c>
    </row>
    <row r="49" spans="1:7" x14ac:dyDescent="0.2">
      <c r="A49" s="12">
        <v>46087</v>
      </c>
      <c r="B49" s="23">
        <v>7514.7359999999999</v>
      </c>
      <c r="C49" s="23">
        <v>298.3</v>
      </c>
      <c r="D49" s="23">
        <v>408.96</v>
      </c>
      <c r="E49" s="23">
        <v>213.21</v>
      </c>
      <c r="F49" s="23">
        <v>644.86</v>
      </c>
      <c r="G49" s="23">
        <v>152.96</v>
      </c>
    </row>
    <row r="50" spans="1:7" x14ac:dyDescent="0.2">
      <c r="A50" s="12">
        <v>46090</v>
      </c>
      <c r="B50" s="23">
        <v>7810.3990000000003</v>
      </c>
      <c r="C50" s="23">
        <v>306.01</v>
      </c>
      <c r="D50" s="23">
        <v>409.41</v>
      </c>
      <c r="E50" s="23">
        <v>213.49</v>
      </c>
      <c r="F50" s="23">
        <v>647.39</v>
      </c>
      <c r="G50" s="23">
        <v>151.56</v>
      </c>
    </row>
    <row r="51" spans="1:7" x14ac:dyDescent="0.2">
      <c r="A51" s="12">
        <v>46091</v>
      </c>
      <c r="B51" s="23">
        <v>7865.1189999999997</v>
      </c>
      <c r="C51" s="23">
        <v>306.93</v>
      </c>
      <c r="D51" s="23">
        <v>405.76</v>
      </c>
      <c r="E51" s="23">
        <v>214.33</v>
      </c>
      <c r="F51" s="23">
        <v>654.07000000000005</v>
      </c>
      <c r="G51" s="23">
        <v>149.4</v>
      </c>
    </row>
    <row r="52" spans="1:7" x14ac:dyDescent="0.2">
      <c r="A52" s="12">
        <v>46092</v>
      </c>
      <c r="B52" s="23">
        <v>7914.5649999999996</v>
      </c>
      <c r="C52" s="23">
        <v>308.42</v>
      </c>
      <c r="D52" s="23">
        <v>404.88</v>
      </c>
      <c r="E52" s="23">
        <v>212.65</v>
      </c>
      <c r="F52" s="23">
        <v>654.86</v>
      </c>
      <c r="G52" s="23">
        <v>163.12</v>
      </c>
    </row>
    <row r="53" spans="1:7" x14ac:dyDescent="0.2">
      <c r="A53" s="12">
        <v>46093</v>
      </c>
      <c r="B53" s="23">
        <v>7643.1729999999998</v>
      </c>
      <c r="C53" s="23">
        <v>303.20999999999998</v>
      </c>
      <c r="D53" s="23">
        <v>401.86</v>
      </c>
      <c r="E53" s="23">
        <v>209.53</v>
      </c>
      <c r="F53" s="23">
        <v>638.17999999999995</v>
      </c>
      <c r="G53" s="23">
        <v>159.16</v>
      </c>
    </row>
    <row r="54" spans="1:7" x14ac:dyDescent="0.2">
      <c r="A54" s="12">
        <v>46094</v>
      </c>
      <c r="B54" s="23">
        <v>7646.6360000000004</v>
      </c>
      <c r="C54" s="23">
        <v>301.45999999999998</v>
      </c>
      <c r="D54" s="23">
        <v>395.55</v>
      </c>
      <c r="E54" s="23">
        <v>207.67</v>
      </c>
      <c r="F54" s="23">
        <v>613.71</v>
      </c>
      <c r="G54" s="23">
        <v>155.11000000000001</v>
      </c>
    </row>
    <row r="55" spans="1:7" x14ac:dyDescent="0.2">
      <c r="A55" s="12">
        <v>46097</v>
      </c>
      <c r="B55" s="23">
        <v>7796.2439999999997</v>
      </c>
      <c r="C55" s="23">
        <v>304.42</v>
      </c>
      <c r="D55" s="23">
        <v>399.95</v>
      </c>
      <c r="E55" s="23">
        <v>211.74</v>
      </c>
      <c r="F55" s="23">
        <v>627.45000000000005</v>
      </c>
      <c r="G55" s="23">
        <v>155.97</v>
      </c>
    </row>
    <row r="56" spans="1:7" x14ac:dyDescent="0.2">
      <c r="A56" s="12">
        <v>46098</v>
      </c>
      <c r="B56" s="23">
        <v>7836.8270000000002</v>
      </c>
      <c r="C56" s="23">
        <v>309.41000000000003</v>
      </c>
      <c r="D56" s="23">
        <v>399.41</v>
      </c>
      <c r="E56" s="23">
        <v>215.2</v>
      </c>
      <c r="F56" s="23">
        <v>622.66</v>
      </c>
      <c r="G56" s="23">
        <v>154.69</v>
      </c>
    </row>
    <row r="57" spans="1:7" x14ac:dyDescent="0.2">
      <c r="A57" s="12">
        <v>46099</v>
      </c>
      <c r="B57" s="23">
        <v>7795.1279999999997</v>
      </c>
      <c r="C57" s="23">
        <v>306.3</v>
      </c>
      <c r="D57" s="23">
        <v>391.79</v>
      </c>
      <c r="E57" s="23">
        <v>209.87</v>
      </c>
      <c r="F57" s="23">
        <v>615.67999999999995</v>
      </c>
      <c r="G57" s="23">
        <v>152.9</v>
      </c>
    </row>
    <row r="58" spans="1:7" x14ac:dyDescent="0.2">
      <c r="A58" s="12">
        <v>46100</v>
      </c>
      <c r="B58" s="23">
        <v>7863.3040000000001</v>
      </c>
      <c r="C58" s="23">
        <v>305.73</v>
      </c>
      <c r="D58" s="23">
        <v>389.02</v>
      </c>
      <c r="E58" s="23">
        <v>208.76</v>
      </c>
      <c r="F58" s="23">
        <v>606.70000000000005</v>
      </c>
      <c r="G58" s="23">
        <v>155.52000000000001</v>
      </c>
    </row>
    <row r="59" spans="1:7" x14ac:dyDescent="0.2">
      <c r="A59" s="12">
        <v>46101</v>
      </c>
      <c r="B59" s="23">
        <v>7670.6080000000002</v>
      </c>
      <c r="C59" s="23">
        <v>298.79000000000002</v>
      </c>
      <c r="D59" s="23">
        <v>381.87</v>
      </c>
      <c r="E59" s="23">
        <v>205.37</v>
      </c>
      <c r="F59" s="23">
        <v>593.66</v>
      </c>
      <c r="G59" s="23">
        <v>149.68</v>
      </c>
    </row>
    <row r="60" spans="1:7" x14ac:dyDescent="0.2">
      <c r="A60" s="12">
        <v>46104</v>
      </c>
      <c r="B60" s="23">
        <v>7773.1319999999996</v>
      </c>
      <c r="C60" s="23">
        <v>299.02</v>
      </c>
      <c r="D60" s="23">
        <v>383</v>
      </c>
      <c r="E60" s="23">
        <v>210.14</v>
      </c>
      <c r="F60" s="23">
        <v>604.05999999999995</v>
      </c>
      <c r="G60" s="23">
        <v>154.34</v>
      </c>
    </row>
    <row r="61" spans="1:7" x14ac:dyDescent="0.2">
      <c r="A61" s="12">
        <v>46105</v>
      </c>
      <c r="B61" s="23">
        <v>7872.7089999999998</v>
      </c>
      <c r="C61" s="23">
        <v>289.2</v>
      </c>
      <c r="D61" s="23">
        <v>372.74</v>
      </c>
      <c r="E61" s="23">
        <v>207.24</v>
      </c>
      <c r="F61" s="23">
        <v>592.91999999999996</v>
      </c>
      <c r="G61" s="23">
        <v>147.09</v>
      </c>
    </row>
    <row r="62" spans="1:7" x14ac:dyDescent="0.2">
      <c r="A62" s="12">
        <v>46106</v>
      </c>
      <c r="B62" s="23">
        <v>7967.7449999999999</v>
      </c>
      <c r="C62" s="23">
        <v>289.58999999999997</v>
      </c>
      <c r="D62" s="23">
        <v>371.04</v>
      </c>
      <c r="E62" s="23">
        <v>211.71</v>
      </c>
      <c r="F62" s="23">
        <v>594.89</v>
      </c>
      <c r="G62" s="23">
        <v>146.02000000000001</v>
      </c>
    </row>
    <row r="63" spans="1:7" x14ac:dyDescent="0.2">
      <c r="A63" s="12">
        <v>46107</v>
      </c>
      <c r="B63" s="23">
        <v>7585.8710000000001</v>
      </c>
      <c r="C63" s="23">
        <v>280.74</v>
      </c>
      <c r="D63" s="23">
        <v>365.97</v>
      </c>
      <c r="E63" s="23">
        <v>207.54</v>
      </c>
      <c r="F63" s="23">
        <v>547.54</v>
      </c>
      <c r="G63" s="23">
        <v>142.81</v>
      </c>
    </row>
    <row r="64" spans="1:7" x14ac:dyDescent="0.2">
      <c r="A64" s="12">
        <v>46108</v>
      </c>
      <c r="B64" s="23">
        <v>7457.6679999999997</v>
      </c>
      <c r="C64" s="23">
        <v>273.76</v>
      </c>
      <c r="D64" s="23">
        <v>356.77</v>
      </c>
      <c r="E64" s="23">
        <v>199.34</v>
      </c>
      <c r="F64" s="23">
        <v>525.72</v>
      </c>
      <c r="G64" s="23">
        <v>139.66</v>
      </c>
    </row>
    <row r="65" spans="1:7" x14ac:dyDescent="0.2">
      <c r="A65" s="12">
        <v>46111</v>
      </c>
      <c r="B65" s="23">
        <v>7142.3339999999998</v>
      </c>
      <c r="C65" s="23">
        <v>273.14</v>
      </c>
      <c r="D65" s="23">
        <v>358.96</v>
      </c>
      <c r="E65" s="23">
        <v>200.95</v>
      </c>
      <c r="F65" s="23">
        <v>536.38</v>
      </c>
      <c r="G65" s="23">
        <v>138.80000000000001</v>
      </c>
    </row>
    <row r="66" spans="1:7" x14ac:dyDescent="0.2">
      <c r="A66" s="12">
        <v>46112</v>
      </c>
      <c r="B66" s="23">
        <v>7588.1959999999999</v>
      </c>
      <c r="C66" s="23">
        <v>286.86</v>
      </c>
      <c r="D66" s="23">
        <v>370.17</v>
      </c>
      <c r="E66" s="23">
        <v>208.27</v>
      </c>
      <c r="F66" s="23">
        <v>572.13</v>
      </c>
      <c r="G66" s="23">
        <v>147.11000000000001</v>
      </c>
    </row>
    <row r="67" spans="1:7" x14ac:dyDescent="0.2">
      <c r="A67" s="12">
        <v>46113</v>
      </c>
      <c r="B67" s="23">
        <v>7802.3109999999997</v>
      </c>
      <c r="C67" s="23">
        <v>294.89999999999998</v>
      </c>
      <c r="D67" s="23">
        <v>369.37</v>
      </c>
      <c r="E67" s="23">
        <v>210.57</v>
      </c>
      <c r="F67" s="23">
        <v>579.23</v>
      </c>
      <c r="G67" s="23">
        <v>145.22999999999999</v>
      </c>
    </row>
    <row r="68" spans="1:7" x14ac:dyDescent="0.2">
      <c r="A68" s="12">
        <v>46114</v>
      </c>
      <c r="B68" s="23">
        <v>7833.3869999999997</v>
      </c>
      <c r="C68" s="23">
        <v>294.45999999999998</v>
      </c>
      <c r="D68" s="23">
        <v>373.46</v>
      </c>
      <c r="E68" s="23">
        <v>209.77</v>
      </c>
      <c r="F68" s="23">
        <v>574.46</v>
      </c>
      <c r="G68" s="23">
        <v>146.38</v>
      </c>
    </row>
    <row r="69" spans="1:7" x14ac:dyDescent="0.2">
      <c r="A69" s="12">
        <v>46118</v>
      </c>
      <c r="B69" s="23">
        <v>7916.1040000000003</v>
      </c>
      <c r="C69" s="23">
        <v>297.66000000000003</v>
      </c>
      <c r="D69" s="23">
        <v>372.88</v>
      </c>
      <c r="E69" s="23">
        <v>212.79</v>
      </c>
      <c r="F69" s="23">
        <v>573.02</v>
      </c>
      <c r="G69" s="23">
        <v>145.54</v>
      </c>
    </row>
    <row r="70" spans="1:7" x14ac:dyDescent="0.2">
      <c r="A70" s="12">
        <v>46119</v>
      </c>
      <c r="B70" s="23">
        <v>8003.8680000000004</v>
      </c>
      <c r="C70" s="23">
        <v>303.93</v>
      </c>
      <c r="D70" s="23">
        <v>372.29</v>
      </c>
      <c r="E70" s="23">
        <v>213.77</v>
      </c>
      <c r="F70" s="23">
        <v>575.04999999999995</v>
      </c>
      <c r="G70" s="23">
        <v>143.16999999999999</v>
      </c>
    </row>
    <row r="71" spans="1:7" x14ac:dyDescent="0.2">
      <c r="A71" s="12">
        <v>46120</v>
      </c>
      <c r="B71" s="23">
        <v>8510.9169999999995</v>
      </c>
      <c r="C71" s="23">
        <v>314.74</v>
      </c>
      <c r="D71" s="23">
        <v>374.33</v>
      </c>
      <c r="E71" s="23">
        <v>221.25</v>
      </c>
      <c r="F71" s="23">
        <v>612.41999999999996</v>
      </c>
      <c r="G71" s="23">
        <v>143.66</v>
      </c>
    </row>
    <row r="72" spans="1:7" x14ac:dyDescent="0.2">
      <c r="A72" s="12">
        <v>46121</v>
      </c>
      <c r="B72" s="23">
        <v>8689.5329999999994</v>
      </c>
      <c r="C72" s="23">
        <v>316.37</v>
      </c>
      <c r="D72" s="23">
        <v>373.07</v>
      </c>
      <c r="E72" s="23">
        <v>233.65</v>
      </c>
      <c r="F72" s="23">
        <v>628.39</v>
      </c>
      <c r="G72" s="23">
        <v>137.86000000000001</v>
      </c>
    </row>
    <row r="73" spans="1:7" x14ac:dyDescent="0.2">
      <c r="A73" s="12">
        <v>46122</v>
      </c>
      <c r="B73" s="23">
        <v>8889.8279999999995</v>
      </c>
      <c r="C73" s="23">
        <v>315.72000000000003</v>
      </c>
      <c r="D73" s="23">
        <v>370.87</v>
      </c>
      <c r="E73" s="23">
        <v>238.38</v>
      </c>
      <c r="F73" s="23">
        <v>629.86</v>
      </c>
      <c r="G73" s="23">
        <v>138.09</v>
      </c>
    </row>
    <row r="74" spans="1:7" x14ac:dyDescent="0.2">
      <c r="A74" s="12">
        <v>46125</v>
      </c>
      <c r="B74" s="23">
        <v>9039.5239999999994</v>
      </c>
      <c r="C74" s="23">
        <v>319.20999999999998</v>
      </c>
      <c r="D74" s="23">
        <v>384.37</v>
      </c>
      <c r="E74" s="23">
        <v>239.89</v>
      </c>
      <c r="F74" s="23">
        <v>634.53</v>
      </c>
      <c r="G74" s="23">
        <v>155.62</v>
      </c>
    </row>
    <row r="75" spans="1:7" x14ac:dyDescent="0.2">
      <c r="A75" s="12">
        <v>46126</v>
      </c>
      <c r="B75" s="23">
        <v>9224.1209999999992</v>
      </c>
      <c r="C75" s="23">
        <v>330.58</v>
      </c>
      <c r="D75" s="23">
        <v>393.11</v>
      </c>
      <c r="E75" s="23">
        <v>249.02</v>
      </c>
      <c r="F75" s="23">
        <v>662.49</v>
      </c>
      <c r="G75" s="23">
        <v>163</v>
      </c>
    </row>
    <row r="76" spans="1:7" x14ac:dyDescent="0.2">
      <c r="A76" s="12">
        <v>46127</v>
      </c>
      <c r="B76" s="23">
        <v>9239.2849999999999</v>
      </c>
      <c r="C76" s="23">
        <v>334.47</v>
      </c>
      <c r="D76" s="23">
        <v>411.22</v>
      </c>
      <c r="E76" s="23">
        <v>248.5</v>
      </c>
      <c r="F76" s="23">
        <v>671.58</v>
      </c>
      <c r="G76" s="23">
        <v>169.81</v>
      </c>
    </row>
    <row r="77" spans="1:7" x14ac:dyDescent="0.2">
      <c r="A77" s="12">
        <v>46128</v>
      </c>
      <c r="B77" s="23">
        <v>9329.3459999999995</v>
      </c>
      <c r="C77" s="23">
        <v>332.77</v>
      </c>
      <c r="D77" s="23">
        <v>420.26</v>
      </c>
      <c r="E77" s="23">
        <v>249.7</v>
      </c>
      <c r="F77" s="23">
        <v>676.87</v>
      </c>
      <c r="G77" s="23">
        <v>178.34</v>
      </c>
    </row>
    <row r="78" spans="1:7" x14ac:dyDescent="0.2">
      <c r="A78" s="12">
        <v>46129</v>
      </c>
      <c r="B78" s="23">
        <v>9555.8829999999998</v>
      </c>
      <c r="C78" s="23">
        <v>339.4</v>
      </c>
      <c r="D78" s="23">
        <v>422.79</v>
      </c>
      <c r="E78" s="23">
        <v>250.56</v>
      </c>
      <c r="F78" s="23">
        <v>688.55</v>
      </c>
      <c r="G78" s="23">
        <v>175.06</v>
      </c>
    </row>
    <row r="79" spans="1:7" x14ac:dyDescent="0.2">
      <c r="A79" s="12">
        <v>46132</v>
      </c>
      <c r="B79" s="23">
        <v>9599.2129999999997</v>
      </c>
      <c r="C79" s="23">
        <v>335.4</v>
      </c>
      <c r="D79" s="23">
        <v>418.07</v>
      </c>
      <c r="E79" s="23">
        <v>248.28</v>
      </c>
      <c r="F79" s="23">
        <v>670.91</v>
      </c>
      <c r="G79" s="23">
        <v>177.58</v>
      </c>
    </row>
    <row r="80" spans="1:7" x14ac:dyDescent="0.2">
      <c r="A80" s="12">
        <v>46133</v>
      </c>
      <c r="B80" s="23">
        <v>9647.2139999999999</v>
      </c>
      <c r="C80" s="23">
        <v>330.47</v>
      </c>
      <c r="D80" s="23">
        <v>424.16</v>
      </c>
      <c r="E80" s="23">
        <v>249.91</v>
      </c>
      <c r="F80" s="23">
        <v>668.84</v>
      </c>
      <c r="G80" s="23">
        <v>181.17</v>
      </c>
    </row>
    <row r="81" spans="1:7" x14ac:dyDescent="0.2">
      <c r="A81" s="12">
        <v>46134</v>
      </c>
      <c r="B81" s="23">
        <v>9909.2669999999998</v>
      </c>
      <c r="C81" s="23">
        <v>337.73</v>
      </c>
      <c r="D81" s="23">
        <v>432.92</v>
      </c>
      <c r="E81" s="23">
        <v>255.36</v>
      </c>
      <c r="F81" s="23">
        <v>674.72</v>
      </c>
      <c r="G81" s="23">
        <v>187.5</v>
      </c>
    </row>
    <row r="82" spans="1:7" x14ac:dyDescent="0.2">
      <c r="A82" s="12">
        <v>46135</v>
      </c>
      <c r="B82" s="23">
        <v>10078.57</v>
      </c>
      <c r="C82" s="23">
        <v>337.75</v>
      </c>
      <c r="D82" s="23">
        <v>415.75</v>
      </c>
      <c r="E82" s="23">
        <v>255.08</v>
      </c>
      <c r="F82" s="23">
        <v>659.15</v>
      </c>
      <c r="G82" s="23">
        <v>176.28</v>
      </c>
    </row>
    <row r="83" spans="1:7" x14ac:dyDescent="0.2">
      <c r="A83" s="12">
        <v>46136</v>
      </c>
      <c r="B83" s="23">
        <v>10513.66</v>
      </c>
      <c r="C83" s="23">
        <v>342.32</v>
      </c>
      <c r="D83" s="23">
        <v>424.62</v>
      </c>
      <c r="E83" s="23">
        <v>263.99</v>
      </c>
      <c r="F83" s="23">
        <v>675.03</v>
      </c>
      <c r="G83" s="23">
        <v>173.28</v>
      </c>
    </row>
    <row r="84" spans="1:7" x14ac:dyDescent="0.2">
      <c r="A84" s="12">
        <v>46139</v>
      </c>
      <c r="B84" s="23">
        <v>10408.040000000001</v>
      </c>
      <c r="C84" s="23">
        <v>348.52</v>
      </c>
      <c r="D84" s="23">
        <v>424.82</v>
      </c>
      <c r="E84" s="23">
        <v>261.12</v>
      </c>
      <c r="F84" s="23">
        <v>678.62</v>
      </c>
      <c r="G84" s="23">
        <v>172.96</v>
      </c>
    </row>
    <row r="85" spans="1:7" x14ac:dyDescent="0.2">
      <c r="A85" s="12">
        <v>46140</v>
      </c>
      <c r="B85" s="23">
        <v>10035.58</v>
      </c>
      <c r="C85" s="23">
        <v>347.5</v>
      </c>
      <c r="D85" s="23">
        <v>429.25</v>
      </c>
      <c r="E85" s="23">
        <v>259.7</v>
      </c>
      <c r="F85" s="23">
        <v>671.34</v>
      </c>
      <c r="G85" s="23">
        <v>165.96</v>
      </c>
    </row>
    <row r="86" spans="1:7" x14ac:dyDescent="0.2">
      <c r="A86" s="12">
        <v>46141</v>
      </c>
      <c r="B86" s="23">
        <v>10271.299999999999</v>
      </c>
      <c r="C86" s="23">
        <v>347.31</v>
      </c>
      <c r="D86" s="23">
        <v>424.46</v>
      </c>
      <c r="E86" s="23">
        <v>263.04000000000002</v>
      </c>
      <c r="F86" s="23">
        <v>669.12</v>
      </c>
      <c r="G86" s="23">
        <v>163.83000000000001</v>
      </c>
    </row>
    <row r="87" spans="1:7" x14ac:dyDescent="0.2">
      <c r="A87" s="12">
        <v>46142</v>
      </c>
      <c r="B87" s="23">
        <v>10503.7</v>
      </c>
      <c r="C87" s="23">
        <v>381.94</v>
      </c>
      <c r="D87" s="23">
        <v>407.78</v>
      </c>
      <c r="E87" s="23">
        <v>265.06</v>
      </c>
      <c r="F87" s="23">
        <v>611.91</v>
      </c>
      <c r="G87" s="23">
        <v>161.38999999999999</v>
      </c>
    </row>
    <row r="88" spans="1:7" x14ac:dyDescent="0.2">
      <c r="A88" s="12">
        <v>46143</v>
      </c>
      <c r="B88" s="23">
        <v>10595.34</v>
      </c>
      <c r="C88" s="23">
        <v>383.22</v>
      </c>
      <c r="D88" s="23">
        <v>414.44</v>
      </c>
      <c r="E88" s="23">
        <v>268.26</v>
      </c>
      <c r="F88" s="23">
        <v>608.745</v>
      </c>
      <c r="G88" s="23">
        <v>171.83</v>
      </c>
    </row>
    <row r="89" spans="1:7" x14ac:dyDescent="0.2">
      <c r="A89" s="12">
        <v>46146</v>
      </c>
      <c r="B89" s="23">
        <v>10534.66</v>
      </c>
      <c r="C89" s="23">
        <v>379.64</v>
      </c>
      <c r="D89" s="23">
        <v>413.62</v>
      </c>
      <c r="E89" s="23">
        <v>272.05</v>
      </c>
      <c r="F89" s="23">
        <v>610.41</v>
      </c>
      <c r="G89" s="23">
        <v>180.29</v>
      </c>
    </row>
    <row r="90" spans="1:7" x14ac:dyDescent="0.2">
      <c r="A90" s="12">
        <v>46147</v>
      </c>
      <c r="B90" s="23">
        <v>10980.58</v>
      </c>
      <c r="C90" s="23">
        <v>384.27</v>
      </c>
      <c r="D90" s="23">
        <v>411.38</v>
      </c>
      <c r="E90" s="23">
        <v>273.55</v>
      </c>
      <c r="F90" s="23">
        <v>604.96</v>
      </c>
      <c r="G90" s="23">
        <v>185.35</v>
      </c>
    </row>
    <row r="91" spans="1:7" x14ac:dyDescent="0.2">
      <c r="A91" s="12">
        <v>46148</v>
      </c>
      <c r="B91" s="23">
        <v>11472.75</v>
      </c>
      <c r="C91" s="23">
        <v>395.14</v>
      </c>
      <c r="D91" s="23">
        <v>413.96</v>
      </c>
      <c r="E91" s="23">
        <v>274.99</v>
      </c>
      <c r="F91" s="23">
        <v>612.88</v>
      </c>
      <c r="G91" s="23">
        <v>194.03</v>
      </c>
    </row>
    <row r="92" spans="1:7" x14ac:dyDescent="0.2">
      <c r="A92" s="12">
        <v>46149</v>
      </c>
      <c r="B92" s="23">
        <v>11160.99</v>
      </c>
      <c r="C92" s="23">
        <v>395.3</v>
      </c>
      <c r="D92" s="23">
        <v>420.77</v>
      </c>
      <c r="E92" s="23">
        <v>271.17</v>
      </c>
      <c r="F92" s="23">
        <v>616.80999999999995</v>
      </c>
      <c r="G92" s="23">
        <v>194.59</v>
      </c>
    </row>
    <row r="93" spans="1:7" x14ac:dyDescent="0.2">
      <c r="A93" s="12">
        <v>46150</v>
      </c>
      <c r="B93" s="23">
        <v>11775.5</v>
      </c>
      <c r="C93" s="23">
        <v>397.05</v>
      </c>
      <c r="D93" s="23">
        <v>415.12</v>
      </c>
      <c r="E93" s="23">
        <v>272.68</v>
      </c>
      <c r="F93" s="23">
        <v>609.63</v>
      </c>
      <c r="G93" s="23">
        <v>195.95</v>
      </c>
    </row>
    <row r="94" spans="1:7" x14ac:dyDescent="0.2">
      <c r="A94" s="12">
        <v>46153</v>
      </c>
      <c r="B94" s="23">
        <v>12081.04</v>
      </c>
      <c r="C94" s="23">
        <v>386.77</v>
      </c>
      <c r="D94" s="23">
        <v>412.66</v>
      </c>
      <c r="E94" s="23">
        <v>268.99</v>
      </c>
      <c r="F94" s="23">
        <v>598.86</v>
      </c>
      <c r="G94" s="23">
        <v>193.84</v>
      </c>
    </row>
    <row r="95" spans="1:7" x14ac:dyDescent="0.2">
      <c r="A95" s="12">
        <v>46154</v>
      </c>
      <c r="B95" s="23">
        <v>11717.26</v>
      </c>
      <c r="C95" s="23">
        <v>383.82</v>
      </c>
      <c r="D95" s="23">
        <v>407.77</v>
      </c>
      <c r="E95" s="23">
        <v>265.82</v>
      </c>
      <c r="F95" s="23">
        <v>603</v>
      </c>
      <c r="G95" s="23">
        <v>186.83</v>
      </c>
    </row>
    <row r="96" spans="1:7" x14ac:dyDescent="0.2">
      <c r="A96" s="12">
        <v>46155</v>
      </c>
      <c r="B96" s="23">
        <v>12017.98</v>
      </c>
      <c r="C96" s="23">
        <v>399.04</v>
      </c>
      <c r="D96" s="23">
        <v>405.21</v>
      </c>
      <c r="E96" s="23">
        <v>270.13</v>
      </c>
      <c r="F96" s="23">
        <v>616.63</v>
      </c>
      <c r="G96" s="23">
        <v>189.76</v>
      </c>
    </row>
    <row r="97" spans="1:7" x14ac:dyDescent="0.2">
      <c r="A97" s="12">
        <v>46156</v>
      </c>
      <c r="B97" s="23">
        <v>12073.78</v>
      </c>
      <c r="C97" s="23">
        <v>397.17</v>
      </c>
      <c r="D97" s="23">
        <v>409.43</v>
      </c>
      <c r="E97" s="23">
        <v>267.22000000000003</v>
      </c>
      <c r="F97" s="23">
        <v>618.42999999999995</v>
      </c>
      <c r="G97" s="23">
        <v>195.61</v>
      </c>
    </row>
    <row r="98" spans="1:7" x14ac:dyDescent="0.2">
      <c r="A98" s="12">
        <v>46157</v>
      </c>
      <c r="B98" s="23">
        <v>11588.46</v>
      </c>
      <c r="C98" s="23">
        <v>393.32</v>
      </c>
      <c r="D98" s="23">
        <v>421.92</v>
      </c>
      <c r="E98" s="23">
        <v>264.14</v>
      </c>
      <c r="F98" s="23">
        <v>614.23</v>
      </c>
      <c r="G98" s="23">
        <v>192.95</v>
      </c>
    </row>
    <row r="99" spans="1:7" x14ac:dyDescent="0.2">
      <c r="A99" s="12">
        <v>46160</v>
      </c>
      <c r="B99" s="23">
        <v>11302.52</v>
      </c>
      <c r="C99" s="23">
        <v>393.11</v>
      </c>
      <c r="D99" s="23">
        <v>423.54</v>
      </c>
      <c r="E99" s="23">
        <v>264.86</v>
      </c>
      <c r="F99" s="23">
        <v>611.21</v>
      </c>
      <c r="G99" s="23">
        <v>186.61</v>
      </c>
    </row>
    <row r="100" spans="1:7" x14ac:dyDescent="0.2">
      <c r="A100" s="12">
        <v>46161</v>
      </c>
      <c r="B100" s="23">
        <v>11305.5</v>
      </c>
      <c r="C100" s="23">
        <v>384.9</v>
      </c>
      <c r="D100" s="23">
        <v>417.42</v>
      </c>
      <c r="E100" s="23">
        <v>259.33999999999997</v>
      </c>
      <c r="F100" s="23">
        <v>602.61</v>
      </c>
      <c r="G100" s="23">
        <v>181.46</v>
      </c>
    </row>
    <row r="101" spans="1:7" x14ac:dyDescent="0.2">
      <c r="A101" s="12">
        <v>46162</v>
      </c>
      <c r="B101" s="23">
        <v>11813.29</v>
      </c>
      <c r="C101" s="23">
        <v>384.9</v>
      </c>
      <c r="D101" s="23">
        <v>421.06</v>
      </c>
      <c r="E101" s="23">
        <v>265.01</v>
      </c>
      <c r="F101" s="23">
        <v>605.05999999999995</v>
      </c>
      <c r="G101" s="23">
        <v>188.16</v>
      </c>
    </row>
    <row r="102" spans="1:7" x14ac:dyDescent="0.2">
      <c r="A102" s="12">
        <v>46163</v>
      </c>
      <c r="B102" s="23">
        <v>11964.08</v>
      </c>
      <c r="C102" s="23">
        <v>383.47</v>
      </c>
      <c r="D102" s="23">
        <v>419.09</v>
      </c>
      <c r="E102" s="23">
        <v>268.45999999999998</v>
      </c>
      <c r="F102" s="23">
        <v>607.38</v>
      </c>
      <c r="G102" s="23">
        <v>189.77</v>
      </c>
    </row>
    <row r="103" spans="1:7" x14ac:dyDescent="0.2">
      <c r="A103" s="12">
        <v>46164</v>
      </c>
      <c r="B103" s="23">
        <v>12202.54</v>
      </c>
      <c r="C103" s="23">
        <v>379.38</v>
      </c>
      <c r="D103" s="23">
        <v>418.57</v>
      </c>
      <c r="E103" s="23">
        <v>266.32</v>
      </c>
      <c r="F103" s="23">
        <v>610.26</v>
      </c>
      <c r="G103" s="23">
        <v>192.08</v>
      </c>
    </row>
    <row r="104" spans="1:7" x14ac:dyDescent="0.2">
      <c r="A104" s="12">
        <v>46168</v>
      </c>
      <c r="B104" s="23">
        <v>12876.91</v>
      </c>
      <c r="C104" s="23">
        <v>384.84</v>
      </c>
      <c r="D104" s="23">
        <v>416.03</v>
      </c>
      <c r="E104" s="23">
        <v>265.29000000000002</v>
      </c>
      <c r="F104" s="23">
        <v>612.34</v>
      </c>
      <c r="G104" s="23">
        <v>193.06</v>
      </c>
    </row>
    <row r="105" spans="1:7" x14ac:dyDescent="0.2">
      <c r="A105" s="12">
        <v>46169</v>
      </c>
      <c r="B105" s="23">
        <v>12702.19</v>
      </c>
      <c r="C105" s="23">
        <v>384.83</v>
      </c>
      <c r="D105" s="23">
        <v>412.67</v>
      </c>
      <c r="E105" s="23">
        <v>271.85000000000002</v>
      </c>
      <c r="F105" s="23">
        <v>635.255</v>
      </c>
      <c r="G105" s="23">
        <v>190.96</v>
      </c>
    </row>
    <row r="106" spans="1:7" x14ac:dyDescent="0.2">
      <c r="A106" s="12">
        <v>46170</v>
      </c>
      <c r="B106" s="23">
        <v>12829.14</v>
      </c>
      <c r="C106" s="23">
        <v>386.12</v>
      </c>
      <c r="D106" s="23">
        <v>426.99</v>
      </c>
      <c r="E106" s="23">
        <v>274</v>
      </c>
      <c r="F106" s="23">
        <v>635.29</v>
      </c>
      <c r="G106" s="23">
        <v>203.7</v>
      </c>
    </row>
    <row r="107" spans="1:7" x14ac:dyDescent="0.2">
      <c r="A107" s="12">
        <v>46171</v>
      </c>
      <c r="B107" s="23">
        <v>12829.38</v>
      </c>
      <c r="C107" s="23">
        <v>376.43</v>
      </c>
      <c r="D107" s="23">
        <v>450.24</v>
      </c>
      <c r="E107" s="23">
        <v>270.64</v>
      </c>
      <c r="F107" s="23">
        <v>632.51</v>
      </c>
      <c r="G107" s="23">
        <v>225.78</v>
      </c>
    </row>
    <row r="108" spans="1:7" x14ac:dyDescent="0.2">
      <c r="A108" s="12">
        <v>46174</v>
      </c>
      <c r="B108" s="23">
        <v>12965.65</v>
      </c>
      <c r="C108" s="23">
        <v>372.58</v>
      </c>
      <c r="D108" s="23">
        <v>460.52</v>
      </c>
      <c r="E108" s="23">
        <v>261.26</v>
      </c>
      <c r="F108" s="23">
        <v>600.47</v>
      </c>
      <c r="G108" s="23">
        <v>248.15</v>
      </c>
    </row>
    <row r="109" spans="1:7" x14ac:dyDescent="0.2">
      <c r="A109" s="12">
        <v>46175</v>
      </c>
      <c r="B109" s="23">
        <v>13726.27</v>
      </c>
      <c r="C109" s="23">
        <v>358.39</v>
      </c>
      <c r="D109" s="23">
        <v>441.31</v>
      </c>
      <c r="E109" s="23">
        <v>256.52</v>
      </c>
      <c r="F109" s="23">
        <v>597.63</v>
      </c>
      <c r="G109" s="23">
        <v>244.58</v>
      </c>
    </row>
    <row r="110" spans="1:7" x14ac:dyDescent="0.2">
      <c r="A110" s="12">
        <v>46176</v>
      </c>
      <c r="B110" s="23">
        <v>13916.96</v>
      </c>
      <c r="C110" s="23">
        <v>355.68</v>
      </c>
      <c r="D110" s="23">
        <v>427.34</v>
      </c>
      <c r="E110" s="23">
        <v>250.02</v>
      </c>
      <c r="F110" s="23">
        <v>622.98</v>
      </c>
      <c r="G110" s="23">
        <v>230.33</v>
      </c>
    </row>
    <row r="111" spans="1:7" x14ac:dyDescent="0.2">
      <c r="A111" s="12">
        <v>46177</v>
      </c>
      <c r="B111" s="23">
        <v>13617.5</v>
      </c>
      <c r="C111" s="23">
        <v>369.27</v>
      </c>
      <c r="D111" s="23">
        <v>428.05</v>
      </c>
      <c r="E111" s="23">
        <v>253.79</v>
      </c>
      <c r="F111" s="23">
        <v>627.57000000000005</v>
      </c>
      <c r="G111" s="23">
        <v>236.34</v>
      </c>
    </row>
    <row r="112" spans="1:7" x14ac:dyDescent="0.2">
      <c r="A112" s="12">
        <v>46178</v>
      </c>
      <c r="B112" s="23">
        <v>12220.76</v>
      </c>
      <c r="C112" s="23">
        <v>365.76</v>
      </c>
      <c r="D112" s="23">
        <v>416.67</v>
      </c>
      <c r="E112" s="23">
        <v>246.03</v>
      </c>
      <c r="F112" s="23">
        <v>593</v>
      </c>
      <c r="G112" s="23">
        <v>213.68</v>
      </c>
    </row>
    <row r="113" spans="1:7" x14ac:dyDescent="0.2">
      <c r="A113" s="12">
        <v>46181</v>
      </c>
      <c r="B113" s="23">
        <v>12906.69</v>
      </c>
      <c r="C113" s="23">
        <v>361.17</v>
      </c>
      <c r="D113" s="23">
        <v>411.74</v>
      </c>
      <c r="E113" s="23">
        <v>245.22</v>
      </c>
      <c r="F113" s="23">
        <v>585.39</v>
      </c>
      <c r="G113" s="23">
        <v>211.82</v>
      </c>
    </row>
    <row r="114" spans="1:7" x14ac:dyDescent="0.2">
      <c r="A114" s="12">
        <v>46182</v>
      </c>
      <c r="B114" s="23">
        <v>12657.81</v>
      </c>
      <c r="C114" s="23">
        <v>362.29</v>
      </c>
      <c r="D114" s="23">
        <v>403.41</v>
      </c>
      <c r="E114" s="23">
        <v>244.19</v>
      </c>
      <c r="F114" s="23">
        <v>584.59</v>
      </c>
      <c r="G114" s="23">
        <v>205.81</v>
      </c>
    </row>
    <row r="115" spans="1:7" x14ac:dyDescent="0.2">
      <c r="A115" s="12">
        <v>46183</v>
      </c>
      <c r="B115" s="23">
        <v>12206.46</v>
      </c>
      <c r="C115" s="23">
        <v>353.32</v>
      </c>
      <c r="D115" s="23">
        <v>397.36</v>
      </c>
      <c r="E115" s="23">
        <v>238</v>
      </c>
      <c r="F115" s="23">
        <v>570.98</v>
      </c>
      <c r="G115" s="23">
        <v>201.26</v>
      </c>
    </row>
    <row r="116" spans="1:7" x14ac:dyDescent="0.2">
      <c r="A116" s="12">
        <v>46184</v>
      </c>
      <c r="B116" s="23">
        <v>13171.44</v>
      </c>
      <c r="C116" s="23">
        <v>356.56</v>
      </c>
      <c r="D116" s="23">
        <v>390.34</v>
      </c>
      <c r="E116" s="23">
        <v>241.51</v>
      </c>
      <c r="F116" s="23">
        <v>568.42999999999995</v>
      </c>
      <c r="G116" s="23">
        <v>184.1</v>
      </c>
    </row>
    <row r="117" spans="1:7" x14ac:dyDescent="0.2">
      <c r="A117" s="12">
        <v>46185</v>
      </c>
      <c r="B117" s="23">
        <v>13371.47</v>
      </c>
      <c r="C117" s="23">
        <v>358.16</v>
      </c>
      <c r="D117" s="23">
        <v>390.74</v>
      </c>
      <c r="E117" s="23">
        <v>238.55</v>
      </c>
      <c r="F117" s="23">
        <v>566.98</v>
      </c>
      <c r="G117" s="23">
        <v>184.13</v>
      </c>
    </row>
    <row r="118" spans="1:7" x14ac:dyDescent="0.2">
      <c r="A118" s="12">
        <v>46188</v>
      </c>
      <c r="B118" s="23">
        <v>14099.62</v>
      </c>
      <c r="C118" s="23">
        <v>367.11</v>
      </c>
      <c r="D118" s="23">
        <v>399.76</v>
      </c>
      <c r="E118" s="23">
        <v>246.02</v>
      </c>
      <c r="F118" s="23">
        <v>593.48</v>
      </c>
      <c r="G118" s="23">
        <v>192.64</v>
      </c>
    </row>
    <row r="119" spans="1:7" x14ac:dyDescent="0.2">
      <c r="A119" s="12">
        <v>46189</v>
      </c>
      <c r="B119" s="23">
        <v>13294.22</v>
      </c>
      <c r="C119" s="23">
        <v>371.1</v>
      </c>
      <c r="D119" s="23">
        <v>393.83</v>
      </c>
      <c r="E119" s="23">
        <v>246</v>
      </c>
      <c r="F119" s="23">
        <v>600.21</v>
      </c>
      <c r="G119" s="23">
        <v>188.33</v>
      </c>
    </row>
    <row r="120" spans="1:7" x14ac:dyDescent="0.2">
      <c r="A120" s="12">
        <v>46190</v>
      </c>
      <c r="B120" s="23">
        <v>13477.07</v>
      </c>
      <c r="C120" s="23">
        <v>362.1</v>
      </c>
      <c r="D120" s="23">
        <v>378.91</v>
      </c>
      <c r="E120" s="23">
        <v>237.5</v>
      </c>
      <c r="F120" s="23">
        <v>567.58000000000004</v>
      </c>
      <c r="G120" s="23">
        <v>183.53</v>
      </c>
    </row>
    <row r="121" spans="1:7" x14ac:dyDescent="0.2">
      <c r="A121" s="12">
        <v>46191</v>
      </c>
      <c r="B121" s="23">
        <v>14341.78</v>
      </c>
      <c r="C121" s="23">
        <v>367.46</v>
      </c>
      <c r="D121" s="23">
        <v>379.4</v>
      </c>
      <c r="E121" s="23">
        <v>244.39</v>
      </c>
      <c r="F121" s="23">
        <v>577.22</v>
      </c>
      <c r="G121" s="23">
        <v>184.29</v>
      </c>
    </row>
    <row r="122" spans="1:7" x14ac:dyDescent="0.2">
      <c r="A122" s="12">
        <v>46195</v>
      </c>
      <c r="B122" s="23">
        <v>14634.72</v>
      </c>
      <c r="C122" s="23">
        <v>348.78</v>
      </c>
      <c r="D122" s="23">
        <v>367.34</v>
      </c>
      <c r="E122" s="23">
        <v>232.79</v>
      </c>
      <c r="F122" s="23">
        <v>563.85</v>
      </c>
      <c r="G122" s="23">
        <v>175.07</v>
      </c>
    </row>
    <row r="123" spans="1:7" x14ac:dyDescent="0.2">
      <c r="A123" s="12">
        <v>46196</v>
      </c>
      <c r="B123" s="23">
        <v>13482.51</v>
      </c>
      <c r="C123" s="23">
        <v>346.08</v>
      </c>
      <c r="D123" s="23">
        <v>373.94</v>
      </c>
      <c r="E123" s="23">
        <v>234.11</v>
      </c>
      <c r="F123" s="23">
        <v>562.20000000000005</v>
      </c>
      <c r="G123" s="23">
        <v>165.16</v>
      </c>
    </row>
    <row r="124" spans="1:7" x14ac:dyDescent="0.2">
      <c r="A124" s="12">
        <v>46197</v>
      </c>
      <c r="B124" s="23">
        <v>13458.19</v>
      </c>
      <c r="C124" s="23">
        <v>345.04</v>
      </c>
      <c r="D124" s="23">
        <v>365.46</v>
      </c>
      <c r="E124" s="23">
        <v>234.27</v>
      </c>
      <c r="F124" s="23">
        <v>557.66999999999996</v>
      </c>
      <c r="G124" s="23">
        <v>157.53</v>
      </c>
    </row>
    <row r="125" spans="1:7" x14ac:dyDescent="0.2">
      <c r="A125" s="12">
        <v>46198</v>
      </c>
      <c r="B125" s="23">
        <v>13940.87</v>
      </c>
      <c r="C125" s="23">
        <v>342.19</v>
      </c>
      <c r="D125" s="23">
        <v>352.83</v>
      </c>
      <c r="E125" s="23">
        <v>227.01</v>
      </c>
      <c r="F125" s="23">
        <v>542.87</v>
      </c>
      <c r="G125" s="23">
        <v>152.46</v>
      </c>
    </row>
    <row r="126" spans="1:7" x14ac:dyDescent="0.2">
      <c r="A126" s="12">
        <v>46199</v>
      </c>
      <c r="B126" s="23">
        <v>13203.57</v>
      </c>
      <c r="C126" s="23">
        <v>334.69</v>
      </c>
      <c r="D126" s="23">
        <v>372.97</v>
      </c>
      <c r="E126" s="23">
        <v>232.69</v>
      </c>
      <c r="F126" s="23">
        <v>550.25</v>
      </c>
      <c r="G126" s="23">
        <v>148.53</v>
      </c>
    </row>
    <row r="127" spans="1:7" x14ac:dyDescent="0.2">
      <c r="A127" s="12">
        <v>46202</v>
      </c>
      <c r="B127" s="23">
        <v>13709.66</v>
      </c>
      <c r="C127" s="23">
        <v>351.28</v>
      </c>
      <c r="D127" s="23">
        <v>368.57</v>
      </c>
      <c r="E127" s="23">
        <v>240.14</v>
      </c>
      <c r="F127" s="23">
        <v>562.6</v>
      </c>
      <c r="G127" s="23">
        <v>147.76</v>
      </c>
    </row>
    <row r="128" spans="1:7" x14ac:dyDescent="0.2">
      <c r="A128" s="12">
        <v>46203</v>
      </c>
      <c r="B128" s="23">
        <v>14246.96</v>
      </c>
      <c r="C128" s="23">
        <v>353.33</v>
      </c>
      <c r="D128" s="23">
        <v>373.02</v>
      </c>
      <c r="E128" s="23">
        <v>238.34</v>
      </c>
      <c r="F128" s="23">
        <v>563.29</v>
      </c>
      <c r="G128" s="23">
        <v>146.55000000000001</v>
      </c>
    </row>
    <row r="129" spans="1:7" x14ac:dyDescent="0.2">
      <c r="A129" s="12">
        <v>46204</v>
      </c>
      <c r="B129" s="23">
        <v>13353.28</v>
      </c>
      <c r="C129" s="23">
        <v>357.89</v>
      </c>
      <c r="D129" s="23">
        <v>384.28</v>
      </c>
      <c r="E129" s="23">
        <v>241.7</v>
      </c>
      <c r="F129" s="23">
        <v>612.91</v>
      </c>
      <c r="G129" s="23">
        <v>142.5</v>
      </c>
    </row>
    <row r="130" spans="1:7" x14ac:dyDescent="0.2">
      <c r="A130" s="12">
        <v>46205</v>
      </c>
      <c r="B130" s="23">
        <v>12626.22</v>
      </c>
      <c r="C130" s="23">
        <v>356.18</v>
      </c>
      <c r="D130" s="23">
        <v>390.49</v>
      </c>
      <c r="E130" s="23">
        <v>242.67</v>
      </c>
      <c r="F130" s="23">
        <v>582.9</v>
      </c>
      <c r="G130" s="23">
        <v>140.27000000000001</v>
      </c>
    </row>
    <row r="131" spans="1:7" x14ac:dyDescent="0.2">
      <c r="A131" s="12">
        <v>46209</v>
      </c>
      <c r="B131" s="23">
        <v>12900.14</v>
      </c>
      <c r="C131" s="23">
        <v>364.9</v>
      </c>
      <c r="D131" s="23">
        <v>386.74</v>
      </c>
      <c r="E131" s="23">
        <v>244.16</v>
      </c>
      <c r="F131" s="23">
        <v>600.29</v>
      </c>
      <c r="G131" s="23">
        <v>143.76</v>
      </c>
    </row>
    <row r="132" spans="1:7" x14ac:dyDescent="0.2">
      <c r="A132" s="12">
        <v>46210</v>
      </c>
      <c r="B132" s="23">
        <v>12300.52</v>
      </c>
      <c r="C132" s="23">
        <v>363.62</v>
      </c>
      <c r="D132" s="23">
        <v>388.84</v>
      </c>
      <c r="E132" s="23">
        <v>245.98</v>
      </c>
      <c r="F132" s="23">
        <v>615.58000000000004</v>
      </c>
      <c r="G132" s="23">
        <v>141.6</v>
      </c>
    </row>
    <row r="133" spans="1:7" x14ac:dyDescent="0.2">
      <c r="A133" s="12">
        <v>46211</v>
      </c>
      <c r="B133" s="23">
        <v>12574.97</v>
      </c>
      <c r="C133" s="23">
        <v>358.71</v>
      </c>
      <c r="D133" s="23">
        <v>383.34</v>
      </c>
      <c r="E133" s="23">
        <v>243.62</v>
      </c>
      <c r="F133" s="23">
        <v>603.12</v>
      </c>
      <c r="G133" s="23">
        <v>140.49</v>
      </c>
    </row>
    <row r="134" spans="1:7" x14ac:dyDescent="0.2">
      <c r="A134" s="12">
        <v>46212</v>
      </c>
      <c r="B134" s="23">
        <v>12960</v>
      </c>
      <c r="C134" s="23">
        <v>356.24</v>
      </c>
      <c r="D134" s="23">
        <v>384.36</v>
      </c>
      <c r="E134" s="23">
        <v>247.04</v>
      </c>
      <c r="F134" s="23">
        <v>631.48</v>
      </c>
      <c r="G134" s="23">
        <v>144.22</v>
      </c>
    </row>
    <row r="135" spans="1:7" x14ac:dyDescent="0.2">
      <c r="A135" s="12">
        <v>46213</v>
      </c>
      <c r="B135" s="23">
        <v>12967.16</v>
      </c>
      <c r="C135" s="23">
        <v>355.03</v>
      </c>
      <c r="D135" s="23">
        <v>385.1</v>
      </c>
      <c r="E135" s="23">
        <v>245.34</v>
      </c>
      <c r="F135" s="23">
        <v>669.21</v>
      </c>
      <c r="G135" s="23">
        <v>140.63999999999999</v>
      </c>
    </row>
    <row r="136" spans="1:7" x14ac:dyDescent="0.2">
      <c r="A136" s="12">
        <v>46216</v>
      </c>
      <c r="B136" s="23">
        <v>12347.78</v>
      </c>
      <c r="C136" s="23">
        <v>350.67</v>
      </c>
      <c r="D136" s="23">
        <v>390.99</v>
      </c>
      <c r="E136" s="23">
        <v>247.31</v>
      </c>
      <c r="F136" s="23">
        <v>656.73</v>
      </c>
      <c r="G136" s="23">
        <v>131.54</v>
      </c>
    </row>
    <row r="137" spans="1:7" x14ac:dyDescent="0.2">
      <c r="A137" s="12">
        <v>46217</v>
      </c>
      <c r="B137" s="23">
        <v>12661.93</v>
      </c>
      <c r="C137" s="23">
        <v>357.33</v>
      </c>
      <c r="D137" s="23">
        <v>384.93</v>
      </c>
      <c r="E137" s="23">
        <v>247.49</v>
      </c>
      <c r="F137" s="23">
        <v>661.04</v>
      </c>
      <c r="G137" s="23">
        <v>127.94</v>
      </c>
    </row>
    <row r="138" spans="1:7" x14ac:dyDescent="0.2">
      <c r="A138" s="12">
        <v>46218</v>
      </c>
      <c r="B138" s="23">
        <v>12398.89</v>
      </c>
      <c r="C138" s="23">
        <v>370.21</v>
      </c>
      <c r="D138" s="23">
        <v>395.63</v>
      </c>
      <c r="E138" s="23">
        <v>254.96</v>
      </c>
      <c r="F138" s="23">
        <v>681.31</v>
      </c>
      <c r="G138" s="23">
        <v>132.49</v>
      </c>
    </row>
    <row r="139" spans="1:7" x14ac:dyDescent="0.2">
      <c r="A139" s="12">
        <v>46219</v>
      </c>
      <c r="B139" s="23">
        <v>11867.5</v>
      </c>
      <c r="C139" s="23">
        <v>353.81</v>
      </c>
      <c r="D139" s="23">
        <v>401.1</v>
      </c>
      <c r="E139" s="23">
        <v>249.89</v>
      </c>
      <c r="F139" s="23">
        <v>664.54</v>
      </c>
      <c r="G139" s="23">
        <v>124.21</v>
      </c>
    </row>
    <row r="140" spans="1:7" x14ac:dyDescent="0.2">
      <c r="A140" s="12">
        <v>46220</v>
      </c>
      <c r="B140" s="23">
        <v>11673.89</v>
      </c>
      <c r="C140" s="23">
        <v>346.12</v>
      </c>
      <c r="D140" s="23">
        <v>393.82</v>
      </c>
      <c r="E140" s="23">
        <v>247.23</v>
      </c>
      <c r="F140" s="23">
        <v>646.01</v>
      </c>
      <c r="G140" s="23">
        <v>126.41</v>
      </c>
    </row>
    <row r="141" spans="1:7" x14ac:dyDescent="0.2">
      <c r="A141" s="12">
        <v>46223</v>
      </c>
      <c r="B141" s="23">
        <v>11743.85</v>
      </c>
      <c r="C141" s="23">
        <v>351.37</v>
      </c>
      <c r="D141" s="23">
        <v>402.29</v>
      </c>
      <c r="E141" s="23">
        <v>249.99</v>
      </c>
      <c r="F141" s="23">
        <v>645.85</v>
      </c>
      <c r="G141" s="23">
        <v>121.38</v>
      </c>
    </row>
    <row r="142" spans="1:7" x14ac:dyDescent="0.2">
      <c r="A142" s="12">
        <v>46224</v>
      </c>
      <c r="B142" s="23">
        <v>12356.16</v>
      </c>
      <c r="C142" s="23">
        <v>346.19</v>
      </c>
      <c r="D142" s="23">
        <v>397.75</v>
      </c>
      <c r="E142" s="23">
        <v>247.55</v>
      </c>
      <c r="F142" s="23">
        <v>643.80999999999995</v>
      </c>
      <c r="G142" s="23">
        <v>127.05</v>
      </c>
    </row>
    <row r="143" spans="1:7" x14ac:dyDescent="0.2">
      <c r="A143" s="12">
        <v>46225</v>
      </c>
      <c r="B143" s="23">
        <v>12410.67</v>
      </c>
      <c r="C143" s="23">
        <v>341.91</v>
      </c>
      <c r="D143" s="23">
        <v>390.34</v>
      </c>
      <c r="E143" s="23">
        <v>244.85</v>
      </c>
      <c r="F143" s="23">
        <v>627.16999999999996</v>
      </c>
      <c r="G143" s="23">
        <v>125.84</v>
      </c>
    </row>
    <row r="144" spans="1:7" x14ac:dyDescent="0.2">
      <c r="A144" s="12">
        <v>46226</v>
      </c>
      <c r="B144" s="23">
        <v>12343.84</v>
      </c>
      <c r="C144" s="23">
        <v>318.33999999999997</v>
      </c>
      <c r="D144" s="23">
        <v>381.58</v>
      </c>
      <c r="E144" s="23">
        <v>233.66</v>
      </c>
      <c r="F144" s="23">
        <v>606.1</v>
      </c>
      <c r="G144" s="23">
        <v>120.04</v>
      </c>
    </row>
    <row r="145" spans="1:7" x14ac:dyDescent="0.2">
      <c r="A145" s="12">
        <v>46227</v>
      </c>
      <c r="B145" s="23">
        <v>11818.89</v>
      </c>
      <c r="C145" s="23">
        <v>319.08999999999997</v>
      </c>
      <c r="D145" s="23">
        <v>381.7</v>
      </c>
      <c r="E145" s="23">
        <v>232.11</v>
      </c>
      <c r="F145" s="23">
        <v>595.19000000000005</v>
      </c>
      <c r="G145" s="23">
        <v>114.99</v>
      </c>
    </row>
    <row r="146" spans="1:7" x14ac:dyDescent="0.2">
      <c r="A146" s="12">
        <v>46230</v>
      </c>
      <c r="B146" s="23">
        <v>11554.88</v>
      </c>
      <c r="C146" s="23">
        <v>326.57</v>
      </c>
      <c r="D146" s="23">
        <v>389.1</v>
      </c>
      <c r="E146" s="23">
        <v>231.39</v>
      </c>
      <c r="F146" s="23">
        <v>593.87</v>
      </c>
      <c r="G146" s="23">
        <v>119.9</v>
      </c>
    </row>
    <row r="147" spans="1:7" x14ac:dyDescent="0.2">
      <c r="A147" s="12">
        <v>46231</v>
      </c>
      <c r="B147" s="23">
        <v>11035.68</v>
      </c>
      <c r="C147" s="23">
        <v>332.6</v>
      </c>
      <c r="D147" s="23">
        <v>393.35</v>
      </c>
      <c r="E147" s="23">
        <v>230.86</v>
      </c>
      <c r="F147" s="23">
        <v>593.41</v>
      </c>
      <c r="G147" s="23">
        <v>119.96</v>
      </c>
    </row>
    <row r="148" spans="1:7" x14ac:dyDescent="0.2">
      <c r="A148" s="12">
        <v>46232</v>
      </c>
      <c r="B148" s="23">
        <v>10447.49</v>
      </c>
      <c r="C148" s="23">
        <v>335.76</v>
      </c>
      <c r="D148" s="23">
        <v>390.54</v>
      </c>
      <c r="E148" s="23">
        <v>226.65</v>
      </c>
      <c r="F148" s="23">
        <v>585.61</v>
      </c>
      <c r="G148" s="23">
        <v>117.74</v>
      </c>
    </row>
    <row r="149" spans="1:7" x14ac:dyDescent="0.2">
      <c r="A149" s="12">
        <v>46233</v>
      </c>
      <c r="B149" s="23">
        <v>11302.99</v>
      </c>
      <c r="C149" s="23">
        <v>333.68</v>
      </c>
      <c r="D149" s="23">
        <v>451.1</v>
      </c>
      <c r="E149" s="23">
        <v>235.5</v>
      </c>
      <c r="F149" s="23">
        <v>539.03</v>
      </c>
      <c r="G149" s="23">
        <v>127.56</v>
      </c>
    </row>
    <row r="150" spans="1:7" x14ac:dyDescent="0.2">
      <c r="A150" s="12">
        <v>46234</v>
      </c>
      <c r="B150" s="23">
        <v>11311.08</v>
      </c>
      <c r="C150" s="23">
        <v>356.65</v>
      </c>
      <c r="D150" s="23">
        <v>464.72</v>
      </c>
      <c r="E150" s="23">
        <v>271.58</v>
      </c>
      <c r="F150" s="23">
        <v>556.71</v>
      </c>
      <c r="G150" s="23">
        <v>129.87</v>
      </c>
    </row>
    <row r="151" spans="1:7" x14ac:dyDescent="0.2">
      <c r="A151" s="12">
        <v>46237</v>
      </c>
      <c r="B151" s="23">
        <v>11430.35</v>
      </c>
      <c r="C151" s="23">
        <v>372.47</v>
      </c>
      <c r="D151" s="23">
        <v>487.65</v>
      </c>
      <c r="E151" s="23">
        <v>284.02</v>
      </c>
      <c r="F151" s="23">
        <v>590.24</v>
      </c>
      <c r="G151" s="23">
        <v>141.85</v>
      </c>
    </row>
    <row r="152" spans="1:7" x14ac:dyDescent="0.2">
      <c r="A152" s="12">
        <v>46238</v>
      </c>
      <c r="B152" s="23">
        <v>12179.26</v>
      </c>
      <c r="C152" s="23">
        <v>375.35</v>
      </c>
      <c r="D152" s="23">
        <v>492.81</v>
      </c>
      <c r="E152" s="23">
        <v>277.42</v>
      </c>
      <c r="F152" s="23">
        <v>587.94000000000005</v>
      </c>
      <c r="G152" s="23">
        <v>145.74</v>
      </c>
    </row>
    <row r="153" spans="1:7" x14ac:dyDescent="0.2">
      <c r="A153" s="12">
        <v>46239</v>
      </c>
      <c r="B153" s="23">
        <v>12008.88</v>
      </c>
      <c r="C153" s="23">
        <v>360.13</v>
      </c>
      <c r="D153" s="23">
        <v>487.46</v>
      </c>
      <c r="E153" s="23">
        <v>272.64999999999998</v>
      </c>
      <c r="F153" s="23">
        <v>588.77</v>
      </c>
      <c r="G153" s="23">
        <v>144.38999999999999</v>
      </c>
    </row>
    <row r="154" spans="1:7" x14ac:dyDescent="0.2">
      <c r="A154" s="12">
        <v>46240</v>
      </c>
      <c r="B154" s="23">
        <v>12048.69</v>
      </c>
      <c r="C154" s="23">
        <v>356.62</v>
      </c>
      <c r="D154" s="23">
        <v>499.86</v>
      </c>
      <c r="E154" s="23">
        <v>272.26</v>
      </c>
      <c r="F154" s="23">
        <v>589.9</v>
      </c>
      <c r="G154" s="23">
        <v>143.47</v>
      </c>
    </row>
    <row r="155" spans="1:7" x14ac:dyDescent="0.2">
      <c r="A155" s="12">
        <v>46241</v>
      </c>
      <c r="B155" s="23">
        <v>12356.79</v>
      </c>
      <c r="C155" s="23">
        <v>353.47</v>
      </c>
      <c r="D155" s="23">
        <v>499.99</v>
      </c>
      <c r="E155" s="23">
        <v>274.48</v>
      </c>
      <c r="F155" s="23">
        <v>592.1</v>
      </c>
      <c r="G155" s="23">
        <v>147.02000000000001</v>
      </c>
    </row>
    <row r="156" spans="1:7" x14ac:dyDescent="0.2">
      <c r="A156" s="12">
        <v>46244</v>
      </c>
      <c r="B156" s="23">
        <v>11993.86</v>
      </c>
      <c r="C156" s="23">
        <v>355.84</v>
      </c>
      <c r="D156" s="23">
        <v>506.06</v>
      </c>
      <c r="E156" s="23">
        <v>278.08999999999997</v>
      </c>
      <c r="F156" s="23">
        <v>594.91999999999996</v>
      </c>
      <c r="G156" s="23">
        <v>151.05000000000001</v>
      </c>
    </row>
    <row r="157" spans="1:7" x14ac:dyDescent="0.2">
      <c r="A157" s="12">
        <v>46245</v>
      </c>
      <c r="B157" s="23">
        <v>12098.47</v>
      </c>
      <c r="C157" s="23">
        <v>343</v>
      </c>
      <c r="D157" s="23">
        <v>503.81</v>
      </c>
      <c r="E157" s="23">
        <v>272.27</v>
      </c>
      <c r="F157" s="23">
        <v>599.12</v>
      </c>
      <c r="G157" s="23">
        <v>145.47999999999999</v>
      </c>
    </row>
    <row r="158" spans="1:7" x14ac:dyDescent="0.2">
      <c r="A158" s="12">
        <v>46246</v>
      </c>
      <c r="B158" s="23">
        <v>12399.38</v>
      </c>
      <c r="C158" s="23">
        <v>342.37</v>
      </c>
      <c r="D158" s="23">
        <v>492.43</v>
      </c>
      <c r="E158" s="23">
        <v>267.27999999999997</v>
      </c>
      <c r="F158" s="23">
        <v>578.85</v>
      </c>
      <c r="G158" s="23">
        <v>153.28</v>
      </c>
    </row>
    <row r="159" spans="1:7" x14ac:dyDescent="0.2">
      <c r="A159" s="12">
        <v>46247</v>
      </c>
      <c r="B159" s="23">
        <v>12456</v>
      </c>
      <c r="C159" s="23">
        <v>343.94</v>
      </c>
      <c r="D159" s="23">
        <v>496.88</v>
      </c>
      <c r="E159" s="23">
        <v>265.13</v>
      </c>
      <c r="F159" s="23">
        <v>594.97</v>
      </c>
      <c r="G159" s="23">
        <v>156.22</v>
      </c>
    </row>
    <row r="160" spans="1:7" x14ac:dyDescent="0.2">
      <c r="A160" s="12">
        <v>46248</v>
      </c>
      <c r="B160" s="23">
        <v>12417.05</v>
      </c>
      <c r="C160" s="23">
        <v>343.54</v>
      </c>
      <c r="D160" s="23">
        <v>495.4</v>
      </c>
      <c r="E160" s="23">
        <v>262.64999999999998</v>
      </c>
      <c r="F160" s="23">
        <v>589.85</v>
      </c>
      <c r="G160" s="23">
        <v>150.52000000000001</v>
      </c>
    </row>
    <row r="161" spans="1:7" x14ac:dyDescent="0.2">
      <c r="A161" s="12">
        <v>46251</v>
      </c>
      <c r="B161" s="23">
        <v>12621</v>
      </c>
      <c r="C161" s="23">
        <v>341.45</v>
      </c>
      <c r="D161" s="23">
        <v>480.35</v>
      </c>
      <c r="E161" s="23">
        <v>261.31</v>
      </c>
      <c r="F161" s="23">
        <v>568.97</v>
      </c>
      <c r="G161" s="23">
        <v>146.65</v>
      </c>
    </row>
    <row r="162" spans="1:7" x14ac:dyDescent="0.2">
      <c r="A162" s="12">
        <v>46252</v>
      </c>
      <c r="B162" s="23">
        <v>11992.46</v>
      </c>
      <c r="C162" s="23">
        <v>341.28</v>
      </c>
      <c r="D162" s="23">
        <v>481.63</v>
      </c>
      <c r="E162" s="23">
        <v>259.45</v>
      </c>
      <c r="F162" s="23">
        <v>543.66999999999996</v>
      </c>
      <c r="G162" s="23">
        <v>142.79</v>
      </c>
    </row>
    <row r="163" spans="1:7" x14ac:dyDescent="0.2">
      <c r="A163" s="12">
        <v>46253</v>
      </c>
      <c r="B163" s="23">
        <v>11738.23</v>
      </c>
      <c r="C163" s="23">
        <v>341.7</v>
      </c>
      <c r="D163" s="23">
        <v>484.31</v>
      </c>
      <c r="E163" s="23">
        <v>265.83999999999997</v>
      </c>
      <c r="F163" s="23">
        <v>546.03</v>
      </c>
      <c r="G163" s="23">
        <v>143.81</v>
      </c>
    </row>
    <row r="164" spans="1:7" x14ac:dyDescent="0.2">
      <c r="A164" s="12">
        <v>46254</v>
      </c>
      <c r="B164" s="23">
        <v>11800.02</v>
      </c>
      <c r="C164" s="23">
        <v>338.2</v>
      </c>
      <c r="D164" s="23">
        <v>481.15</v>
      </c>
      <c r="E164" s="23">
        <v>260.11</v>
      </c>
      <c r="F164" s="23">
        <v>545.83000000000004</v>
      </c>
      <c r="G164" s="23">
        <v>142.07</v>
      </c>
    </row>
    <row r="165" spans="1:7" x14ac:dyDescent="0.2">
      <c r="A165" s="12">
        <v>46255</v>
      </c>
      <c r="B165" s="23">
        <v>11740.37</v>
      </c>
      <c r="C165" s="23">
        <v>341.75</v>
      </c>
      <c r="D165" s="23">
        <v>483.24</v>
      </c>
      <c r="E165" s="23">
        <v>258.63</v>
      </c>
      <c r="F165" s="23">
        <v>549.9</v>
      </c>
      <c r="G165" s="23">
        <v>146.47</v>
      </c>
    </row>
    <row r="166" spans="1:7" x14ac:dyDescent="0.2">
      <c r="A166" s="12">
        <v>46258</v>
      </c>
      <c r="B166" s="23">
        <v>11423.17</v>
      </c>
      <c r="C166" s="23">
        <v>344.59</v>
      </c>
      <c r="D166" s="23">
        <v>487.31</v>
      </c>
      <c r="E166" s="23">
        <v>262.07</v>
      </c>
      <c r="F166" s="23">
        <v>559.02</v>
      </c>
      <c r="G166" s="23">
        <v>142.44999999999999</v>
      </c>
    </row>
    <row r="167" spans="1:7" x14ac:dyDescent="0.2">
      <c r="A167" s="12">
        <v>46259</v>
      </c>
      <c r="B167" s="23">
        <v>11588.04</v>
      </c>
      <c r="C167" s="23">
        <v>343.34</v>
      </c>
      <c r="D167" s="23">
        <v>491.71</v>
      </c>
      <c r="E167" s="23">
        <v>261.06</v>
      </c>
      <c r="F167" s="23">
        <v>570.04999999999995</v>
      </c>
      <c r="G167" s="23">
        <v>144.76</v>
      </c>
    </row>
    <row r="168" spans="1:7" x14ac:dyDescent="0.2">
      <c r="A168" s="12">
        <v>46260</v>
      </c>
      <c r="B168" s="23">
        <v>11611.24</v>
      </c>
      <c r="C168" s="23">
        <v>339.1</v>
      </c>
      <c r="D168" s="23">
        <v>496.37</v>
      </c>
      <c r="E168" s="23">
        <v>260.27999999999997</v>
      </c>
      <c r="F168" s="23">
        <v>576.14</v>
      </c>
      <c r="G168" s="23">
        <v>148.87</v>
      </c>
    </row>
    <row r="169" spans="1:7" x14ac:dyDescent="0.2">
      <c r="A169" s="12">
        <v>46261</v>
      </c>
      <c r="B169" s="23">
        <v>11882.17</v>
      </c>
      <c r="C169" s="23">
        <v>337.71</v>
      </c>
      <c r="D169" s="23">
        <v>505.06</v>
      </c>
      <c r="E169" s="23">
        <v>256.26</v>
      </c>
      <c r="F169" s="23">
        <v>571.1</v>
      </c>
      <c r="G169" s="23">
        <v>151.94</v>
      </c>
    </row>
    <row r="170" spans="1:7" x14ac:dyDescent="0.2">
      <c r="A170" s="12">
        <v>46262</v>
      </c>
      <c r="B170" s="23">
        <v>11469.66</v>
      </c>
      <c r="C170" s="23">
        <v>342.88</v>
      </c>
      <c r="D170" s="23">
        <v>513.53</v>
      </c>
      <c r="E170" s="23">
        <v>266.43</v>
      </c>
      <c r="F170" s="23">
        <v>578.02</v>
      </c>
      <c r="G170" s="23">
        <v>150.85</v>
      </c>
    </row>
    <row r="171" spans="1:7" x14ac:dyDescent="0.2">
      <c r="A171" s="12">
        <v>46265</v>
      </c>
      <c r="B171" s="23">
        <v>11535.05</v>
      </c>
      <c r="C171" s="23">
        <v>335.41</v>
      </c>
      <c r="D171" s="23">
        <v>507.29</v>
      </c>
      <c r="E171" s="23">
        <v>259.77</v>
      </c>
      <c r="F171" s="23">
        <v>572.34</v>
      </c>
      <c r="G171" s="23">
        <v>149.12</v>
      </c>
    </row>
    <row r="172" spans="1:7" x14ac:dyDescent="0.2">
      <c r="A172" s="12">
        <v>46266</v>
      </c>
      <c r="B172" s="23">
        <v>11288.61</v>
      </c>
      <c r="C172" s="23">
        <v>332.03</v>
      </c>
      <c r="D172" s="23">
        <v>501.02</v>
      </c>
      <c r="E172" s="23">
        <v>254.92</v>
      </c>
      <c r="F172" s="23">
        <v>578.54</v>
      </c>
      <c r="G172" s="23">
        <v>141.32</v>
      </c>
    </row>
    <row r="173" spans="1:7" x14ac:dyDescent="0.2">
      <c r="A173" s="12">
        <v>46267</v>
      </c>
      <c r="B173" s="23">
        <v>11339.25</v>
      </c>
      <c r="C173" s="23">
        <v>333.78</v>
      </c>
      <c r="D173" s="23">
        <v>496.82</v>
      </c>
      <c r="E173" s="23">
        <v>254.98</v>
      </c>
      <c r="F173" s="23">
        <v>592.85</v>
      </c>
      <c r="G173" s="23">
        <v>145.75</v>
      </c>
    </row>
    <row r="174" spans="1:7" x14ac:dyDescent="0.2">
      <c r="A174" s="12">
        <v>46268</v>
      </c>
      <c r="B174" s="23">
        <v>11352.13</v>
      </c>
      <c r="C174" s="23">
        <v>339.08</v>
      </c>
      <c r="D174" s="23">
        <v>510.12</v>
      </c>
      <c r="E174" s="23">
        <v>258.89999999999998</v>
      </c>
      <c r="F174" s="23">
        <v>610.67999999999995</v>
      </c>
      <c r="G174" s="23">
        <v>154.04</v>
      </c>
    </row>
    <row r="175" spans="1:7" x14ac:dyDescent="0.2">
      <c r="A175" s="12">
        <v>46269</v>
      </c>
      <c r="B175" s="23">
        <v>11735.26</v>
      </c>
      <c r="C175" s="23">
        <v>335.31</v>
      </c>
      <c r="D175" s="23">
        <v>499.7</v>
      </c>
      <c r="E175" s="23">
        <v>258.51</v>
      </c>
      <c r="F175" s="23">
        <v>616.77</v>
      </c>
      <c r="G175" s="23">
        <v>158.78</v>
      </c>
    </row>
    <row r="176" spans="1:7" x14ac:dyDescent="0.2">
      <c r="A176" s="12">
        <v>46273</v>
      </c>
      <c r="B176" s="23">
        <v>11887.87</v>
      </c>
      <c r="C176" s="23">
        <v>335.38</v>
      </c>
      <c r="D176" s="23">
        <v>493.95</v>
      </c>
      <c r="E176" s="23">
        <v>256.97000000000003</v>
      </c>
      <c r="F176" s="23">
        <v>613.48</v>
      </c>
      <c r="G176" s="23">
        <v>162.52000000000001</v>
      </c>
    </row>
    <row r="177" spans="1:7" x14ac:dyDescent="0.2">
      <c r="A177" s="12">
        <v>46274</v>
      </c>
      <c r="B177" s="23">
        <v>11931.32</v>
      </c>
      <c r="C177" s="23">
        <v>328.38</v>
      </c>
      <c r="D177" s="23">
        <v>491.65</v>
      </c>
      <c r="E177" s="23">
        <v>252.4</v>
      </c>
      <c r="F177" s="23">
        <v>653.69000000000005</v>
      </c>
      <c r="G177" s="23">
        <v>161.63</v>
      </c>
    </row>
    <row r="178" spans="1:7" x14ac:dyDescent="0.2">
      <c r="A178" s="12">
        <v>46275</v>
      </c>
      <c r="B178" s="23">
        <v>11614.17</v>
      </c>
      <c r="C178" s="23">
        <v>330.39</v>
      </c>
      <c r="D178" s="23">
        <v>492.44</v>
      </c>
      <c r="E178" s="23">
        <v>251.89</v>
      </c>
      <c r="F178" s="23">
        <v>644.38</v>
      </c>
      <c r="G178" s="23">
        <v>152.94</v>
      </c>
    </row>
    <row r="179" spans="1:7" x14ac:dyDescent="0.2">
      <c r="A179" s="12">
        <v>46276</v>
      </c>
      <c r="B179" s="23">
        <v>11824</v>
      </c>
      <c r="C179" s="23">
        <v>335.45</v>
      </c>
      <c r="D179" s="23">
        <v>495.63</v>
      </c>
      <c r="E179" s="23">
        <v>256.77999999999997</v>
      </c>
      <c r="F179" s="23">
        <v>648.03</v>
      </c>
      <c r="G179" s="23">
        <v>150.28</v>
      </c>
    </row>
    <row r="180" spans="1:7" x14ac:dyDescent="0.2">
      <c r="A180" s="12">
        <v>46279</v>
      </c>
      <c r="B180" s="23">
        <v>11131.28</v>
      </c>
      <c r="C180" s="23">
        <v>345.71</v>
      </c>
      <c r="D180" s="23">
        <v>505.41</v>
      </c>
      <c r="E180" s="23">
        <v>253.54</v>
      </c>
      <c r="F180" s="23">
        <v>665.6</v>
      </c>
      <c r="G180" s="23">
        <v>144.79</v>
      </c>
    </row>
    <row r="181" spans="1:7" x14ac:dyDescent="0.2">
      <c r="A181" s="12">
        <v>46280</v>
      </c>
      <c r="B181" s="23">
        <v>11175.55</v>
      </c>
      <c r="C181" s="23">
        <v>341.43</v>
      </c>
      <c r="D181" s="23">
        <v>497.12</v>
      </c>
      <c r="E181" s="23">
        <v>248.42</v>
      </c>
      <c r="F181" s="23">
        <v>670.24</v>
      </c>
      <c r="G181" s="23">
        <v>140.35</v>
      </c>
    </row>
    <row r="182" spans="1:7" x14ac:dyDescent="0.2">
      <c r="A182" s="12">
        <v>46281</v>
      </c>
      <c r="B182" s="23">
        <v>11246.11</v>
      </c>
      <c r="C182" s="23">
        <v>339.36</v>
      </c>
      <c r="D182" s="23">
        <v>490.3</v>
      </c>
      <c r="E182" s="23">
        <v>245.96</v>
      </c>
      <c r="F182" s="23">
        <v>673.31</v>
      </c>
      <c r="G182" s="23">
        <v>143.16</v>
      </c>
    </row>
    <row r="183" spans="1:7" x14ac:dyDescent="0.2">
      <c r="A183" s="12">
        <v>46282</v>
      </c>
      <c r="B183" s="23">
        <v>11599.49</v>
      </c>
      <c r="C183" s="23">
        <v>343.68</v>
      </c>
      <c r="D183" s="23">
        <v>497.75</v>
      </c>
      <c r="E183" s="23">
        <v>251.19</v>
      </c>
      <c r="F183" s="23">
        <v>682.31</v>
      </c>
      <c r="G183" s="23">
        <v>150.59</v>
      </c>
    </row>
    <row r="184" spans="1:7" x14ac:dyDescent="0.2">
      <c r="A184" s="12">
        <v>46283</v>
      </c>
      <c r="B184" s="23">
        <v>11921.69</v>
      </c>
      <c r="C184" s="23">
        <v>344.41</v>
      </c>
      <c r="D184" s="23">
        <v>493.78</v>
      </c>
      <c r="E184" s="23">
        <v>253.71</v>
      </c>
      <c r="F184" s="23">
        <v>665.75</v>
      </c>
      <c r="G184" s="23">
        <v>147.61000000000001</v>
      </c>
    </row>
    <row r="185" spans="1:7" x14ac:dyDescent="0.2">
      <c r="A185" s="12">
        <v>46286</v>
      </c>
      <c r="B185" s="23">
        <v>12433.17</v>
      </c>
      <c r="C185" s="23">
        <v>350.87</v>
      </c>
      <c r="D185" s="23">
        <v>501.61</v>
      </c>
      <c r="E185" s="23">
        <v>258.45</v>
      </c>
      <c r="F185" s="23">
        <v>741.245</v>
      </c>
      <c r="G185" s="23">
        <v>148.56</v>
      </c>
    </row>
    <row r="186" spans="1:7" x14ac:dyDescent="0.2">
      <c r="A186" s="12">
        <v>46287</v>
      </c>
      <c r="B186" s="23">
        <v>12689.82</v>
      </c>
      <c r="C186" s="23">
        <v>347.41</v>
      </c>
      <c r="D186" s="23">
        <v>498</v>
      </c>
      <c r="E186" s="23">
        <v>254.98</v>
      </c>
      <c r="F186" s="23">
        <v>736.59500000000003</v>
      </c>
      <c r="G186" s="23">
        <v>149.19999999999999</v>
      </c>
    </row>
    <row r="187" spans="1:7" x14ac:dyDescent="0.2">
      <c r="A187" s="12">
        <v>46288</v>
      </c>
      <c r="B187" s="23">
        <v>12534.27</v>
      </c>
      <c r="C187" s="23">
        <v>334.98</v>
      </c>
      <c r="D187" s="23">
        <v>500.59</v>
      </c>
      <c r="E187" s="23">
        <v>249.27</v>
      </c>
      <c r="F187" s="23">
        <v>744.1</v>
      </c>
      <c r="G187" s="23">
        <v>144.56</v>
      </c>
    </row>
    <row r="188" spans="1:7" x14ac:dyDescent="0.2">
      <c r="A188" s="12">
        <v>46289</v>
      </c>
      <c r="B188" s="23">
        <v>12492.54</v>
      </c>
      <c r="C188" s="23">
        <v>339.01</v>
      </c>
      <c r="D188" s="23">
        <v>497.93</v>
      </c>
      <c r="E188" s="23">
        <v>249.38</v>
      </c>
      <c r="F188" s="23">
        <v>777.59</v>
      </c>
      <c r="G188" s="23">
        <v>139.54</v>
      </c>
    </row>
    <row r="189" spans="1:7" x14ac:dyDescent="0.2">
      <c r="A189" s="12">
        <v>46290</v>
      </c>
      <c r="B189" s="23">
        <v>12668.93</v>
      </c>
      <c r="C189" s="23">
        <v>341.08</v>
      </c>
      <c r="D189" s="23">
        <v>516.16999999999996</v>
      </c>
      <c r="E189" s="23">
        <v>249.67</v>
      </c>
      <c r="F189" s="23">
        <v>751.66</v>
      </c>
      <c r="G189" s="23">
        <v>137.1</v>
      </c>
    </row>
    <row r="190" spans="1:7" x14ac:dyDescent="0.2">
      <c r="A190" s="12">
        <v>46293</v>
      </c>
      <c r="B190" s="23">
        <v>12465.24</v>
      </c>
      <c r="C190" s="23">
        <v>339.16</v>
      </c>
      <c r="D190" s="23">
        <v>509.22</v>
      </c>
      <c r="E190" s="23">
        <v>246.15</v>
      </c>
      <c r="F190" s="23">
        <v>715.62</v>
      </c>
      <c r="G190" s="23">
        <v>132.6</v>
      </c>
    </row>
    <row r="191" spans="1:7" x14ac:dyDescent="0.2">
      <c r="A191" s="12">
        <v>46294</v>
      </c>
      <c r="B191" s="23">
        <v>12629.16</v>
      </c>
      <c r="C191" s="23">
        <v>337.32</v>
      </c>
      <c r="D191" s="23">
        <v>508.96</v>
      </c>
      <c r="E191" s="23">
        <v>246.67</v>
      </c>
      <c r="F191" s="23">
        <v>738.79</v>
      </c>
      <c r="G191" s="23">
        <v>137.79</v>
      </c>
    </row>
    <row r="192" spans="1:7" x14ac:dyDescent="0.2">
      <c r="A192" s="12">
        <v>46295</v>
      </c>
      <c r="B192" s="23">
        <v>12628.62</v>
      </c>
      <c r="C192" s="23">
        <v>340.74</v>
      </c>
      <c r="D192" s="23">
        <v>512.9</v>
      </c>
      <c r="E192" s="23">
        <v>249.15</v>
      </c>
      <c r="F192" s="23">
        <v>725.18</v>
      </c>
      <c r="G192" s="23">
        <v>137.30000000000001</v>
      </c>
    </row>
    <row r="193" spans="1:7" x14ac:dyDescent="0.2">
      <c r="A193" s="12">
        <v>46296</v>
      </c>
      <c r="B193" s="23">
        <v>12829</v>
      </c>
      <c r="C193" s="23">
        <v>334.93</v>
      </c>
      <c r="D193" s="23">
        <v>512.79999999999995</v>
      </c>
      <c r="E193" s="23">
        <v>248.23</v>
      </c>
      <c r="F193" s="23">
        <v>725.93</v>
      </c>
      <c r="G193" s="23">
        <v>138.07</v>
      </c>
    </row>
    <row r="194" spans="1:7" x14ac:dyDescent="0.2">
      <c r="A194" s="12">
        <v>46297</v>
      </c>
      <c r="B194" s="23">
        <v>13136.67</v>
      </c>
      <c r="C194" s="23">
        <v>340.35</v>
      </c>
      <c r="D194" s="23">
        <v>517.53</v>
      </c>
      <c r="E194" s="23">
        <v>251.52</v>
      </c>
      <c r="F194" s="23">
        <v>728.08</v>
      </c>
      <c r="G194" s="23">
        <v>142.30000000000001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showGridLines="0" workbookViewId="0"/>
  </sheetViews>
  <sheetFormatPr baseColWidth="10" defaultColWidth="8.83203125" defaultRowHeight="15" x14ac:dyDescent="0.2"/>
  <cols>
    <col min="1" max="1" width="22" customWidth="1"/>
    <col min="2" max="7" width="17" customWidth="1"/>
  </cols>
  <sheetData>
    <row r="1" spans="1:8" ht="18" x14ac:dyDescent="0.2">
      <c r="A1" s="1" t="s">
        <v>104</v>
      </c>
    </row>
    <row r="2" spans="1:8" x14ac:dyDescent="0.2">
      <c r="A2" s="2" t="s">
        <v>105</v>
      </c>
    </row>
    <row r="4" spans="1:8" x14ac:dyDescent="0.2">
      <c r="A4" s="10" t="s">
        <v>106</v>
      </c>
      <c r="B4" s="10" t="s">
        <v>92</v>
      </c>
      <c r="C4" s="10" t="s">
        <v>90</v>
      </c>
      <c r="D4" s="10" t="s">
        <v>93</v>
      </c>
      <c r="E4" s="10" t="s">
        <v>94</v>
      </c>
      <c r="F4" s="10" t="s">
        <v>91</v>
      </c>
      <c r="G4" s="10" t="s">
        <v>107</v>
      </c>
    </row>
    <row r="5" spans="1:8" x14ac:dyDescent="0.2">
      <c r="A5" s="11" t="s">
        <v>108</v>
      </c>
      <c r="B5" s="25">
        <v>15000000000</v>
      </c>
      <c r="C5" s="25">
        <v>22500000000</v>
      </c>
      <c r="D5" s="25">
        <v>30000000000</v>
      </c>
      <c r="E5" s="25">
        <v>25750000000</v>
      </c>
      <c r="F5" s="25"/>
      <c r="G5" s="25">
        <v>93250000000</v>
      </c>
    </row>
    <row r="6" spans="1:8" x14ac:dyDescent="0.2">
      <c r="A6" s="11" t="s">
        <v>109</v>
      </c>
      <c r="B6" s="25">
        <v>62000000000</v>
      </c>
      <c r="C6" s="25">
        <v>45000000000</v>
      </c>
      <c r="D6" s="25">
        <v>25000000000</v>
      </c>
      <c r="E6" s="25">
        <v>25000000000</v>
      </c>
      <c r="F6" s="25"/>
      <c r="G6" s="25">
        <v>157000000000</v>
      </c>
    </row>
    <row r="8" spans="1:8" ht="42" x14ac:dyDescent="0.2">
      <c r="A8" s="10" t="s">
        <v>110</v>
      </c>
      <c r="B8" s="10" t="s">
        <v>92</v>
      </c>
      <c r="C8" s="10" t="s">
        <v>90</v>
      </c>
      <c r="D8" s="10" t="s">
        <v>93</v>
      </c>
      <c r="E8" s="10" t="s">
        <v>94</v>
      </c>
      <c r="F8" s="10" t="s">
        <v>91</v>
      </c>
      <c r="G8" s="10" t="s">
        <v>111</v>
      </c>
      <c r="H8" s="10" t="s">
        <v>112</v>
      </c>
    </row>
    <row r="9" spans="1:8" x14ac:dyDescent="0.2">
      <c r="A9" s="20" t="s">
        <v>108</v>
      </c>
      <c r="B9" s="17">
        <f t="shared" ref="B9:F10" si="0">IF(B5="",0,B5/1000000000)</f>
        <v>15</v>
      </c>
      <c r="C9" s="17">
        <f t="shared" si="0"/>
        <v>22.5</v>
      </c>
      <c r="D9" s="17">
        <f t="shared" si="0"/>
        <v>30</v>
      </c>
      <c r="E9" s="17">
        <f t="shared" si="0"/>
        <v>25.75</v>
      </c>
      <c r="F9" s="17">
        <f t="shared" si="0"/>
        <v>0</v>
      </c>
      <c r="G9" s="15">
        <f>SUM(B9:F9)</f>
        <v>93.25</v>
      </c>
      <c r="H9" s="17">
        <f>G9-G5/1000000000</f>
        <v>0</v>
      </c>
    </row>
    <row r="10" spans="1:8" x14ac:dyDescent="0.2">
      <c r="A10" s="20" t="s">
        <v>113</v>
      </c>
      <c r="B10" s="17">
        <f t="shared" si="0"/>
        <v>62</v>
      </c>
      <c r="C10" s="17">
        <f t="shared" si="0"/>
        <v>45</v>
      </c>
      <c r="D10" s="17">
        <f t="shared" si="0"/>
        <v>25</v>
      </c>
      <c r="E10" s="17">
        <f t="shared" si="0"/>
        <v>25</v>
      </c>
      <c r="F10" s="17">
        <f t="shared" si="0"/>
        <v>0</v>
      </c>
      <c r="G10" s="15">
        <f>SUM(B10:F10)</f>
        <v>157</v>
      </c>
      <c r="H10" s="17">
        <f>G10-G6/1000000000</f>
        <v>0</v>
      </c>
    </row>
    <row r="11" spans="1:8" x14ac:dyDescent="0.2">
      <c r="A11" s="24" t="s">
        <v>114</v>
      </c>
      <c r="B11" s="26">
        <f t="shared" ref="B11:G11" si="1">B10-B9</f>
        <v>47</v>
      </c>
      <c r="C11" s="26">
        <f t="shared" si="1"/>
        <v>22.5</v>
      </c>
      <c r="D11" s="27">
        <f t="shared" si="1"/>
        <v>-5</v>
      </c>
      <c r="E11" s="27">
        <f t="shared" si="1"/>
        <v>-0.75</v>
      </c>
      <c r="F11" s="27">
        <f t="shared" si="1"/>
        <v>0</v>
      </c>
      <c r="G11" s="26">
        <f t="shared" si="1"/>
        <v>63.75</v>
      </c>
    </row>
    <row r="12" spans="1:8" x14ac:dyDescent="0.2">
      <c r="A12" s="24" t="s">
        <v>115</v>
      </c>
      <c r="G12" s="16">
        <f>G10/G9-1</f>
        <v>0.6836461126005362</v>
      </c>
    </row>
    <row r="13" spans="1:8" x14ac:dyDescent="0.2">
      <c r="A13" s="2" t="s">
        <v>116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1"/>
  <sheetViews>
    <sheetView showGridLines="0" workbookViewId="0"/>
  </sheetViews>
  <sheetFormatPr baseColWidth="10" defaultColWidth="8.83203125" defaultRowHeight="15" x14ac:dyDescent="0.2"/>
  <cols>
    <col min="1" max="1" width="10" customWidth="1"/>
    <col min="2" max="2" width="16" customWidth="1"/>
    <col min="3" max="4" width="14" customWidth="1"/>
    <col min="6" max="6" width="36" customWidth="1"/>
    <col min="7" max="7" width="14" customWidth="1"/>
    <col min="9" max="9" width="34" customWidth="1"/>
    <col min="10" max="10" width="12" customWidth="1"/>
  </cols>
  <sheetData>
    <row r="1" spans="1:10" ht="18" x14ac:dyDescent="0.2">
      <c r="A1" s="1" t="s">
        <v>117</v>
      </c>
    </row>
    <row r="2" spans="1:10" x14ac:dyDescent="0.2">
      <c r="A2" s="2" t="s">
        <v>118</v>
      </c>
    </row>
    <row r="4" spans="1:10" ht="28" x14ac:dyDescent="0.2">
      <c r="A4" s="10" t="s">
        <v>119</v>
      </c>
      <c r="B4" s="10" t="s">
        <v>120</v>
      </c>
      <c r="C4" s="10" t="s">
        <v>121</v>
      </c>
      <c r="D4" s="10" t="s">
        <v>122</v>
      </c>
      <c r="F4" s="10" t="s">
        <v>69</v>
      </c>
      <c r="G4" s="10" t="s">
        <v>81</v>
      </c>
      <c r="I4" s="10" t="s">
        <v>123</v>
      </c>
      <c r="J4" s="10" t="s">
        <v>81</v>
      </c>
    </row>
    <row r="5" spans="1:10" x14ac:dyDescent="0.2">
      <c r="A5" s="11" t="s">
        <v>124</v>
      </c>
      <c r="B5" s="28">
        <v>149.93260000000001</v>
      </c>
      <c r="C5" s="25">
        <v>16630</v>
      </c>
      <c r="D5" s="12">
        <v>45961</v>
      </c>
      <c r="F5" s="20" t="s">
        <v>125</v>
      </c>
      <c r="G5" s="15">
        <f>B15</f>
        <v>146.5076</v>
      </c>
      <c r="I5" s="20" t="s">
        <v>126</v>
      </c>
      <c r="J5" s="29">
        <f>INDEX(G13:G191,MATCH(DATE(2026,10,2),F13:F191,0))</f>
        <v>17875</v>
      </c>
    </row>
    <row r="6" spans="1:10" x14ac:dyDescent="0.2">
      <c r="A6" s="11" t="s">
        <v>127</v>
      </c>
      <c r="B6" s="28">
        <v>150.06100000000001</v>
      </c>
      <c r="C6" s="25">
        <v>16660</v>
      </c>
      <c r="D6" s="12">
        <v>45989</v>
      </c>
      <c r="F6" s="20" t="s">
        <v>128</v>
      </c>
      <c r="G6" s="17">
        <f>INDEX(B5:B15,MATCH("Dec-25",A5:A15,0))</f>
        <v>156.471</v>
      </c>
      <c r="I6" s="20" t="s">
        <v>129</v>
      </c>
      <c r="J6" s="30">
        <f>INDEX(G13:G191,MATCH(DATE(2025,12,31),F13:F191,0))</f>
        <v>16690</v>
      </c>
    </row>
    <row r="7" spans="1:10" x14ac:dyDescent="0.2">
      <c r="A7" s="11" t="s">
        <v>130</v>
      </c>
      <c r="B7" s="28">
        <v>156.471</v>
      </c>
      <c r="C7" s="25">
        <v>16690</v>
      </c>
      <c r="D7" s="12">
        <v>46022</v>
      </c>
      <c r="F7" s="20" t="s">
        <v>131</v>
      </c>
      <c r="G7" s="31">
        <f>G5-G6</f>
        <v>-9.9634000000000071</v>
      </c>
      <c r="I7" s="20" t="s">
        <v>132</v>
      </c>
      <c r="J7" s="16">
        <f>J5/J6-1</f>
        <v>7.1000599161174405E-2</v>
      </c>
    </row>
    <row r="8" spans="1:10" x14ac:dyDescent="0.2">
      <c r="A8" s="11" t="s">
        <v>133</v>
      </c>
      <c r="B8" s="28">
        <v>154.5805</v>
      </c>
      <c r="C8" s="25">
        <v>16785</v>
      </c>
      <c r="D8" s="12">
        <v>46052</v>
      </c>
      <c r="F8" s="20" t="s">
        <v>134</v>
      </c>
      <c r="G8" s="15">
        <f>MIN(B8:B15)</f>
        <v>144.89840000000001</v>
      </c>
      <c r="I8" s="20" t="s">
        <v>135</v>
      </c>
      <c r="J8" s="29">
        <f>_xlfn.MINIFS(G13:G191,F13:F191,"&gt;="&amp;DATE(2026,9,1),F13:F191,"&lt;="&amp;DATE(2026,9,30))</f>
        <v>17513</v>
      </c>
    </row>
    <row r="9" spans="1:10" x14ac:dyDescent="0.2">
      <c r="A9" s="11" t="s">
        <v>136</v>
      </c>
      <c r="B9" s="28">
        <v>151.90119999999999</v>
      </c>
      <c r="C9" s="25">
        <v>16771</v>
      </c>
      <c r="D9" s="12">
        <v>46080</v>
      </c>
      <c r="F9" s="20" t="s">
        <v>137</v>
      </c>
      <c r="G9" s="32" t="str">
        <f>INDEX(A5:A15,MATCH(G8,B5:B15,0))</f>
        <v>May-26</v>
      </c>
      <c r="I9" s="20" t="s">
        <v>138</v>
      </c>
      <c r="J9" s="29">
        <f>_xlfn.MAXIFS(G13:G191,F13:F191,"&gt;="&amp;DATE(2026,9,1),F13:F191,"&lt;="&amp;DATE(2026,9,30))</f>
        <v>17975</v>
      </c>
    </row>
    <row r="10" spans="1:10" x14ac:dyDescent="0.2">
      <c r="A10" s="11" t="s">
        <v>139</v>
      </c>
      <c r="B10" s="28">
        <v>148.15020000000001</v>
      </c>
      <c r="C10" s="25">
        <v>16995</v>
      </c>
      <c r="D10" s="12">
        <v>46112</v>
      </c>
      <c r="I10" s="20" t="s">
        <v>140</v>
      </c>
      <c r="J10" s="29">
        <f>_xlfn.MAXIFS(G13:G191,F13:F191,"&gt;="&amp;DATE(2026,1,1))</f>
        <v>18178</v>
      </c>
    </row>
    <row r="11" spans="1:10" x14ac:dyDescent="0.2">
      <c r="A11" s="11" t="s">
        <v>141</v>
      </c>
      <c r="B11" s="28">
        <v>146.202</v>
      </c>
      <c r="C11" s="25">
        <v>17353</v>
      </c>
      <c r="D11" s="12">
        <v>46142</v>
      </c>
      <c r="I11" s="20" t="s">
        <v>142</v>
      </c>
      <c r="J11" s="33">
        <f>INDEX(F13:F191,MATCH(J10,G13:G191,0))</f>
        <v>46181</v>
      </c>
    </row>
    <row r="12" spans="1:10" ht="28" x14ac:dyDescent="0.2">
      <c r="A12" s="11" t="s">
        <v>143</v>
      </c>
      <c r="B12" s="28">
        <v>144.89840000000001</v>
      </c>
      <c r="C12" s="25">
        <v>17874</v>
      </c>
      <c r="D12" s="12">
        <v>46171</v>
      </c>
      <c r="F12" s="10" t="s">
        <v>64</v>
      </c>
      <c r="G12" s="10" t="s">
        <v>144</v>
      </c>
    </row>
    <row r="13" spans="1:10" x14ac:dyDescent="0.2">
      <c r="A13" s="11" t="s">
        <v>145</v>
      </c>
      <c r="B13" s="28">
        <v>145.59360000000001</v>
      </c>
      <c r="C13" s="25">
        <v>17882</v>
      </c>
      <c r="D13" s="12">
        <v>46203</v>
      </c>
      <c r="F13" s="12">
        <v>46022</v>
      </c>
      <c r="G13" s="25">
        <v>16690</v>
      </c>
    </row>
    <row r="14" spans="1:10" x14ac:dyDescent="0.2">
      <c r="A14" s="11" t="s">
        <v>146</v>
      </c>
      <c r="B14" s="28">
        <v>145.34379999999999</v>
      </c>
      <c r="C14" s="25">
        <v>18000</v>
      </c>
      <c r="D14" s="12">
        <v>46234</v>
      </c>
      <c r="F14" s="12">
        <v>46024</v>
      </c>
      <c r="G14" s="25">
        <v>16725</v>
      </c>
    </row>
    <row r="15" spans="1:10" x14ac:dyDescent="0.2">
      <c r="A15" s="11" t="s">
        <v>147</v>
      </c>
      <c r="B15" s="28">
        <v>146.5076</v>
      </c>
      <c r="C15" s="25">
        <v>17720</v>
      </c>
      <c r="D15" s="12">
        <v>46265</v>
      </c>
      <c r="F15" s="12">
        <v>46027</v>
      </c>
      <c r="G15" s="25">
        <v>16740</v>
      </c>
    </row>
    <row r="16" spans="1:10" x14ac:dyDescent="0.2">
      <c r="F16" s="12">
        <v>46028</v>
      </c>
      <c r="G16" s="25">
        <v>16750</v>
      </c>
    </row>
    <row r="17" spans="6:7" x14ac:dyDescent="0.2">
      <c r="F17" s="12">
        <v>46029</v>
      </c>
      <c r="G17" s="25">
        <v>16775</v>
      </c>
    </row>
    <row r="18" spans="6:7" x14ac:dyDescent="0.2">
      <c r="F18" s="12">
        <v>46030</v>
      </c>
      <c r="G18" s="25">
        <v>16793</v>
      </c>
    </row>
    <row r="19" spans="6:7" x14ac:dyDescent="0.2">
      <c r="F19" s="12">
        <v>46031</v>
      </c>
      <c r="G19" s="25">
        <v>16805</v>
      </c>
    </row>
    <row r="20" spans="6:7" x14ac:dyDescent="0.2">
      <c r="F20" s="12">
        <v>46034</v>
      </c>
      <c r="G20" s="25">
        <v>16833</v>
      </c>
    </row>
    <row r="21" spans="6:7" x14ac:dyDescent="0.2">
      <c r="F21" s="12">
        <v>46035</v>
      </c>
      <c r="G21" s="25">
        <v>16865</v>
      </c>
    </row>
    <row r="22" spans="6:7" x14ac:dyDescent="0.2">
      <c r="F22" s="12">
        <v>46036</v>
      </c>
      <c r="G22" s="25">
        <v>16860</v>
      </c>
    </row>
    <row r="23" spans="6:7" x14ac:dyDescent="0.2">
      <c r="F23" s="12">
        <v>46037</v>
      </c>
      <c r="G23" s="25">
        <v>16885</v>
      </c>
    </row>
    <row r="24" spans="6:7" x14ac:dyDescent="0.2">
      <c r="F24" s="12">
        <v>46041</v>
      </c>
      <c r="G24" s="25">
        <v>16942</v>
      </c>
    </row>
    <row r="25" spans="6:7" x14ac:dyDescent="0.2">
      <c r="F25" s="12">
        <v>46042</v>
      </c>
      <c r="G25" s="25">
        <v>16950</v>
      </c>
    </row>
    <row r="26" spans="6:7" x14ac:dyDescent="0.2">
      <c r="F26" s="12">
        <v>46043</v>
      </c>
      <c r="G26" s="25">
        <v>16935</v>
      </c>
    </row>
    <row r="27" spans="6:7" x14ac:dyDescent="0.2">
      <c r="F27" s="12">
        <v>46044</v>
      </c>
      <c r="G27" s="25">
        <v>16885</v>
      </c>
    </row>
    <row r="28" spans="6:7" x14ac:dyDescent="0.2">
      <c r="F28" s="12">
        <v>46045</v>
      </c>
      <c r="G28" s="25">
        <v>16822</v>
      </c>
    </row>
    <row r="29" spans="6:7" x14ac:dyDescent="0.2">
      <c r="F29" s="12">
        <v>46048</v>
      </c>
      <c r="G29" s="25">
        <v>16780</v>
      </c>
    </row>
    <row r="30" spans="6:7" x14ac:dyDescent="0.2">
      <c r="F30" s="12">
        <v>46049</v>
      </c>
      <c r="G30" s="25">
        <v>16766</v>
      </c>
    </row>
    <row r="31" spans="6:7" x14ac:dyDescent="0.2">
      <c r="F31" s="12">
        <v>46050</v>
      </c>
      <c r="G31" s="25">
        <v>16706</v>
      </c>
    </row>
    <row r="32" spans="6:7" x14ac:dyDescent="0.2">
      <c r="F32" s="12">
        <v>46051</v>
      </c>
      <c r="G32" s="25">
        <v>16750</v>
      </c>
    </row>
    <row r="33" spans="6:7" x14ac:dyDescent="0.2">
      <c r="F33" s="12">
        <v>46052</v>
      </c>
      <c r="G33" s="25">
        <v>16785</v>
      </c>
    </row>
    <row r="34" spans="6:7" x14ac:dyDescent="0.2">
      <c r="F34" s="12">
        <v>46055</v>
      </c>
      <c r="G34" s="25">
        <v>16790</v>
      </c>
    </row>
    <row r="35" spans="6:7" x14ac:dyDescent="0.2">
      <c r="F35" s="12">
        <v>46056</v>
      </c>
      <c r="G35" s="25">
        <v>16760</v>
      </c>
    </row>
    <row r="36" spans="6:7" x14ac:dyDescent="0.2">
      <c r="F36" s="12">
        <v>46057</v>
      </c>
      <c r="G36" s="25">
        <v>16775</v>
      </c>
    </row>
    <row r="37" spans="6:7" x14ac:dyDescent="0.2">
      <c r="F37" s="12">
        <v>46058</v>
      </c>
      <c r="G37" s="25">
        <v>16830</v>
      </c>
    </row>
    <row r="38" spans="6:7" x14ac:dyDescent="0.2">
      <c r="F38" s="12">
        <v>46059</v>
      </c>
      <c r="G38" s="25">
        <v>16866</v>
      </c>
    </row>
    <row r="39" spans="6:7" x14ac:dyDescent="0.2">
      <c r="F39" s="12">
        <v>46062</v>
      </c>
      <c r="G39" s="25">
        <v>16803</v>
      </c>
    </row>
    <row r="40" spans="6:7" x14ac:dyDescent="0.2">
      <c r="F40" s="12">
        <v>46063</v>
      </c>
      <c r="G40" s="25">
        <v>16800</v>
      </c>
    </row>
    <row r="41" spans="6:7" x14ac:dyDescent="0.2">
      <c r="F41" s="12">
        <v>46064</v>
      </c>
      <c r="G41" s="25">
        <v>16783</v>
      </c>
    </row>
    <row r="42" spans="6:7" x14ac:dyDescent="0.2">
      <c r="F42" s="12">
        <v>46065</v>
      </c>
      <c r="G42" s="25">
        <v>16818</v>
      </c>
    </row>
    <row r="43" spans="6:7" x14ac:dyDescent="0.2">
      <c r="F43" s="12">
        <v>46066</v>
      </c>
      <c r="G43" s="25">
        <v>16839</v>
      </c>
    </row>
    <row r="44" spans="6:7" x14ac:dyDescent="0.2">
      <c r="F44" s="12">
        <v>46071</v>
      </c>
      <c r="G44" s="25">
        <v>16884</v>
      </c>
    </row>
    <row r="45" spans="6:7" x14ac:dyDescent="0.2">
      <c r="F45" s="12">
        <v>46072</v>
      </c>
      <c r="G45" s="25">
        <v>16880</v>
      </c>
    </row>
    <row r="46" spans="6:7" x14ac:dyDescent="0.2">
      <c r="F46" s="12">
        <v>46073</v>
      </c>
      <c r="G46" s="25">
        <v>16873</v>
      </c>
    </row>
    <row r="47" spans="6:7" x14ac:dyDescent="0.2">
      <c r="F47" s="12">
        <v>46076</v>
      </c>
      <c r="G47" s="25">
        <v>16794</v>
      </c>
    </row>
    <row r="48" spans="6:7" x14ac:dyDescent="0.2">
      <c r="F48" s="12">
        <v>46077</v>
      </c>
      <c r="G48" s="25">
        <v>16823</v>
      </c>
    </row>
    <row r="49" spans="6:7" x14ac:dyDescent="0.2">
      <c r="F49" s="12">
        <v>46078</v>
      </c>
      <c r="G49" s="25">
        <v>16785</v>
      </c>
    </row>
    <row r="50" spans="6:7" x14ac:dyDescent="0.2">
      <c r="F50" s="12">
        <v>46079</v>
      </c>
      <c r="G50" s="25">
        <v>16755</v>
      </c>
    </row>
    <row r="51" spans="6:7" x14ac:dyDescent="0.2">
      <c r="F51" s="12">
        <v>46080</v>
      </c>
      <c r="G51" s="25">
        <v>16771</v>
      </c>
    </row>
    <row r="52" spans="6:7" x14ac:dyDescent="0.2">
      <c r="F52" s="12">
        <v>46083</v>
      </c>
      <c r="G52" s="25">
        <v>16861</v>
      </c>
    </row>
    <row r="53" spans="6:7" x14ac:dyDescent="0.2">
      <c r="F53" s="12">
        <v>46084</v>
      </c>
      <c r="G53" s="25">
        <v>16857</v>
      </c>
    </row>
    <row r="54" spans="6:7" x14ac:dyDescent="0.2">
      <c r="F54" s="12">
        <v>46085</v>
      </c>
      <c r="G54" s="25">
        <v>16885</v>
      </c>
    </row>
    <row r="55" spans="6:7" x14ac:dyDescent="0.2">
      <c r="F55" s="12">
        <v>46086</v>
      </c>
      <c r="G55" s="25">
        <v>16883</v>
      </c>
    </row>
    <row r="56" spans="6:7" x14ac:dyDescent="0.2">
      <c r="F56" s="12">
        <v>46087</v>
      </c>
      <c r="G56" s="25">
        <v>16906</v>
      </c>
    </row>
    <row r="57" spans="6:7" x14ac:dyDescent="0.2">
      <c r="F57" s="12">
        <v>46090</v>
      </c>
      <c r="G57" s="25">
        <v>16945</v>
      </c>
    </row>
    <row r="58" spans="6:7" x14ac:dyDescent="0.2">
      <c r="F58" s="12">
        <v>46091</v>
      </c>
      <c r="G58" s="25">
        <v>16861</v>
      </c>
    </row>
    <row r="59" spans="6:7" x14ac:dyDescent="0.2">
      <c r="F59" s="12">
        <v>46092</v>
      </c>
      <c r="G59" s="25">
        <v>16870</v>
      </c>
    </row>
    <row r="60" spans="6:7" x14ac:dyDescent="0.2">
      <c r="F60" s="12">
        <v>46093</v>
      </c>
      <c r="G60" s="25">
        <v>16893</v>
      </c>
    </row>
    <row r="61" spans="6:7" x14ac:dyDescent="0.2">
      <c r="F61" s="12">
        <v>46094</v>
      </c>
      <c r="G61" s="25">
        <v>16944</v>
      </c>
    </row>
    <row r="62" spans="6:7" x14ac:dyDescent="0.2">
      <c r="F62" s="12">
        <v>46097</v>
      </c>
      <c r="G62" s="25">
        <v>16990</v>
      </c>
    </row>
    <row r="63" spans="6:7" x14ac:dyDescent="0.2">
      <c r="F63" s="12">
        <v>46098</v>
      </c>
      <c r="G63" s="25">
        <v>16985</v>
      </c>
    </row>
    <row r="64" spans="6:7" x14ac:dyDescent="0.2">
      <c r="F64" s="12">
        <v>46106</v>
      </c>
      <c r="G64" s="25">
        <v>16910</v>
      </c>
    </row>
    <row r="65" spans="6:7" x14ac:dyDescent="0.2">
      <c r="F65" s="12">
        <v>46107</v>
      </c>
      <c r="G65" s="25">
        <v>16904</v>
      </c>
    </row>
    <row r="66" spans="6:7" x14ac:dyDescent="0.2">
      <c r="F66" s="12">
        <v>46108</v>
      </c>
      <c r="G66" s="25">
        <v>16965</v>
      </c>
    </row>
    <row r="67" spans="6:7" x14ac:dyDescent="0.2">
      <c r="F67" s="12">
        <v>46111</v>
      </c>
      <c r="G67" s="25">
        <v>16992</v>
      </c>
    </row>
    <row r="68" spans="6:7" x14ac:dyDescent="0.2">
      <c r="F68" s="12">
        <v>46112</v>
      </c>
      <c r="G68" s="25">
        <v>16995</v>
      </c>
    </row>
    <row r="69" spans="6:7" x14ac:dyDescent="0.2">
      <c r="F69" s="12">
        <v>46113</v>
      </c>
      <c r="G69" s="25">
        <v>16980</v>
      </c>
    </row>
    <row r="70" spans="6:7" x14ac:dyDescent="0.2">
      <c r="F70" s="12">
        <v>46114</v>
      </c>
      <c r="G70" s="25">
        <v>17000</v>
      </c>
    </row>
    <row r="71" spans="6:7" x14ac:dyDescent="0.2">
      <c r="F71" s="12">
        <v>46118</v>
      </c>
      <c r="G71" s="25">
        <v>17038</v>
      </c>
    </row>
    <row r="72" spans="6:7" x14ac:dyDescent="0.2">
      <c r="F72" s="12">
        <v>46119</v>
      </c>
      <c r="G72" s="25">
        <v>17095</v>
      </c>
    </row>
    <row r="73" spans="6:7" x14ac:dyDescent="0.2">
      <c r="F73" s="12">
        <v>46120</v>
      </c>
      <c r="G73" s="25">
        <v>17010</v>
      </c>
    </row>
    <row r="74" spans="6:7" x14ac:dyDescent="0.2">
      <c r="F74" s="12">
        <v>46121</v>
      </c>
      <c r="G74" s="25">
        <v>17085</v>
      </c>
    </row>
    <row r="75" spans="6:7" x14ac:dyDescent="0.2">
      <c r="F75" s="12">
        <v>46122</v>
      </c>
      <c r="G75" s="25">
        <v>17098</v>
      </c>
    </row>
    <row r="76" spans="6:7" x14ac:dyDescent="0.2">
      <c r="F76" s="12">
        <v>46125</v>
      </c>
      <c r="G76" s="25">
        <v>17103</v>
      </c>
    </row>
    <row r="77" spans="6:7" x14ac:dyDescent="0.2">
      <c r="F77" s="12">
        <v>46126</v>
      </c>
      <c r="G77" s="25">
        <v>17122</v>
      </c>
    </row>
    <row r="78" spans="6:7" x14ac:dyDescent="0.2">
      <c r="F78" s="12">
        <v>46127</v>
      </c>
      <c r="G78" s="25">
        <v>17140</v>
      </c>
    </row>
    <row r="79" spans="6:7" x14ac:dyDescent="0.2">
      <c r="F79" s="12">
        <v>46128</v>
      </c>
      <c r="G79" s="25">
        <v>17136</v>
      </c>
    </row>
    <row r="80" spans="6:7" x14ac:dyDescent="0.2">
      <c r="F80" s="12">
        <v>46129</v>
      </c>
      <c r="G80" s="25">
        <v>17190</v>
      </c>
    </row>
    <row r="81" spans="6:7" x14ac:dyDescent="0.2">
      <c r="F81" s="12">
        <v>46132</v>
      </c>
      <c r="G81" s="25">
        <v>17170</v>
      </c>
    </row>
    <row r="82" spans="6:7" x14ac:dyDescent="0.2">
      <c r="F82" s="12">
        <v>46133</v>
      </c>
      <c r="G82" s="25">
        <v>17144</v>
      </c>
    </row>
    <row r="83" spans="6:7" x14ac:dyDescent="0.2">
      <c r="F83" s="12">
        <v>46134</v>
      </c>
      <c r="G83" s="25">
        <v>17175</v>
      </c>
    </row>
    <row r="84" spans="6:7" x14ac:dyDescent="0.2">
      <c r="F84" s="12">
        <v>46135</v>
      </c>
      <c r="G84" s="25">
        <v>17295</v>
      </c>
    </row>
    <row r="85" spans="6:7" x14ac:dyDescent="0.2">
      <c r="F85" s="12">
        <v>46136</v>
      </c>
      <c r="G85" s="25">
        <v>17205</v>
      </c>
    </row>
    <row r="86" spans="6:7" x14ac:dyDescent="0.2">
      <c r="F86" s="12">
        <v>46139</v>
      </c>
      <c r="G86" s="25">
        <v>17195</v>
      </c>
    </row>
    <row r="87" spans="6:7" x14ac:dyDescent="0.2">
      <c r="F87" s="12">
        <v>46140</v>
      </c>
      <c r="G87" s="25">
        <v>17225</v>
      </c>
    </row>
    <row r="88" spans="6:7" x14ac:dyDescent="0.2">
      <c r="F88" s="12">
        <v>46141</v>
      </c>
      <c r="G88" s="25">
        <v>17290</v>
      </c>
    </row>
    <row r="89" spans="6:7" x14ac:dyDescent="0.2">
      <c r="F89" s="12">
        <v>46142</v>
      </c>
      <c r="G89" s="25">
        <v>17353</v>
      </c>
    </row>
    <row r="90" spans="6:7" x14ac:dyDescent="0.2">
      <c r="F90" s="12">
        <v>46146</v>
      </c>
      <c r="G90" s="25">
        <v>17380</v>
      </c>
    </row>
    <row r="91" spans="6:7" x14ac:dyDescent="0.2">
      <c r="F91" s="12">
        <v>46147</v>
      </c>
      <c r="G91" s="25">
        <v>17425</v>
      </c>
    </row>
    <row r="92" spans="6:7" x14ac:dyDescent="0.2">
      <c r="F92" s="12">
        <v>46148</v>
      </c>
      <c r="G92" s="25">
        <v>17389</v>
      </c>
    </row>
    <row r="93" spans="6:7" x14ac:dyDescent="0.2">
      <c r="F93" s="12">
        <v>46149</v>
      </c>
      <c r="G93" s="25">
        <v>17342</v>
      </c>
    </row>
    <row r="94" spans="6:7" x14ac:dyDescent="0.2">
      <c r="F94" s="12">
        <v>46150</v>
      </c>
      <c r="G94" s="25">
        <v>17373</v>
      </c>
    </row>
    <row r="95" spans="6:7" x14ac:dyDescent="0.2">
      <c r="F95" s="12">
        <v>46153</v>
      </c>
      <c r="G95" s="25">
        <v>17412</v>
      </c>
    </row>
    <row r="96" spans="6:7" x14ac:dyDescent="0.2">
      <c r="F96" s="12">
        <v>46154</v>
      </c>
      <c r="G96" s="25">
        <v>17500</v>
      </c>
    </row>
    <row r="97" spans="6:7" x14ac:dyDescent="0.2">
      <c r="F97" s="12">
        <v>46155</v>
      </c>
      <c r="G97" s="25">
        <v>17465</v>
      </c>
    </row>
    <row r="98" spans="6:7" x14ac:dyDescent="0.2">
      <c r="F98" s="12">
        <v>46160</v>
      </c>
      <c r="G98" s="25">
        <v>17656</v>
      </c>
    </row>
    <row r="99" spans="6:7" x14ac:dyDescent="0.2">
      <c r="F99" s="12">
        <v>46161</v>
      </c>
      <c r="G99" s="25">
        <v>17705</v>
      </c>
    </row>
    <row r="100" spans="6:7" x14ac:dyDescent="0.2">
      <c r="F100" s="12">
        <v>46162</v>
      </c>
      <c r="G100" s="25">
        <v>17605</v>
      </c>
    </row>
    <row r="101" spans="6:7" x14ac:dyDescent="0.2">
      <c r="F101" s="12">
        <v>46163</v>
      </c>
      <c r="G101" s="25">
        <v>17654</v>
      </c>
    </row>
    <row r="102" spans="6:7" x14ac:dyDescent="0.2">
      <c r="F102" s="12">
        <v>46164</v>
      </c>
      <c r="G102" s="25">
        <v>17709</v>
      </c>
    </row>
    <row r="103" spans="6:7" x14ac:dyDescent="0.2">
      <c r="F103" s="12">
        <v>46167</v>
      </c>
      <c r="G103" s="25">
        <v>17743</v>
      </c>
    </row>
    <row r="104" spans="6:7" x14ac:dyDescent="0.2">
      <c r="F104" s="12">
        <v>46168</v>
      </c>
      <c r="G104" s="25">
        <v>17789</v>
      </c>
    </row>
    <row r="105" spans="6:7" x14ac:dyDescent="0.2">
      <c r="F105" s="12">
        <v>46171</v>
      </c>
      <c r="G105" s="25">
        <v>17874</v>
      </c>
    </row>
    <row r="106" spans="6:7" x14ac:dyDescent="0.2">
      <c r="F106" s="12">
        <v>46175</v>
      </c>
      <c r="G106" s="25">
        <v>17838</v>
      </c>
    </row>
    <row r="107" spans="6:7" x14ac:dyDescent="0.2">
      <c r="F107" s="12">
        <v>46176</v>
      </c>
      <c r="G107" s="25">
        <v>17950</v>
      </c>
    </row>
    <row r="108" spans="6:7" x14ac:dyDescent="0.2">
      <c r="F108" s="12">
        <v>46177</v>
      </c>
      <c r="G108" s="25">
        <v>18033</v>
      </c>
    </row>
    <row r="109" spans="6:7" x14ac:dyDescent="0.2">
      <c r="F109" s="12">
        <v>46178</v>
      </c>
      <c r="G109" s="25">
        <v>18020</v>
      </c>
    </row>
    <row r="110" spans="6:7" x14ac:dyDescent="0.2">
      <c r="F110" s="12">
        <v>46181</v>
      </c>
      <c r="G110" s="25">
        <v>18178</v>
      </c>
    </row>
    <row r="111" spans="6:7" x14ac:dyDescent="0.2">
      <c r="F111" s="12">
        <v>46182</v>
      </c>
      <c r="G111" s="25">
        <v>18060</v>
      </c>
    </row>
    <row r="112" spans="6:7" x14ac:dyDescent="0.2">
      <c r="F112" s="12">
        <v>46183</v>
      </c>
      <c r="G112" s="25">
        <v>17953</v>
      </c>
    </row>
    <row r="113" spans="6:7" x14ac:dyDescent="0.2">
      <c r="F113" s="12">
        <v>46184</v>
      </c>
      <c r="G113" s="25">
        <v>17993</v>
      </c>
    </row>
    <row r="114" spans="6:7" x14ac:dyDescent="0.2">
      <c r="F114" s="12">
        <v>46185</v>
      </c>
      <c r="G114" s="25">
        <v>17870</v>
      </c>
    </row>
    <row r="115" spans="6:7" x14ac:dyDescent="0.2">
      <c r="F115" s="12">
        <v>46188</v>
      </c>
      <c r="G115" s="25">
        <v>17703</v>
      </c>
    </row>
    <row r="116" spans="6:7" x14ac:dyDescent="0.2">
      <c r="F116" s="12">
        <v>46190</v>
      </c>
      <c r="G116" s="25">
        <v>17738</v>
      </c>
    </row>
    <row r="117" spans="6:7" x14ac:dyDescent="0.2">
      <c r="F117" s="12">
        <v>46191</v>
      </c>
      <c r="G117" s="25">
        <v>17710</v>
      </c>
    </row>
    <row r="118" spans="6:7" x14ac:dyDescent="0.2">
      <c r="F118" s="12">
        <v>46192</v>
      </c>
      <c r="G118" s="25">
        <v>17790</v>
      </c>
    </row>
    <row r="119" spans="6:7" x14ac:dyDescent="0.2">
      <c r="F119" s="12">
        <v>46195</v>
      </c>
      <c r="G119" s="25">
        <v>17832</v>
      </c>
    </row>
    <row r="120" spans="6:7" x14ac:dyDescent="0.2">
      <c r="F120" s="12">
        <v>46196</v>
      </c>
      <c r="G120" s="25">
        <v>17845</v>
      </c>
    </row>
    <row r="121" spans="6:7" x14ac:dyDescent="0.2">
      <c r="F121" s="12">
        <v>46197</v>
      </c>
      <c r="G121" s="25">
        <v>17943</v>
      </c>
    </row>
    <row r="122" spans="6:7" x14ac:dyDescent="0.2">
      <c r="F122" s="12">
        <v>46198</v>
      </c>
      <c r="G122" s="25">
        <v>17925</v>
      </c>
    </row>
    <row r="123" spans="6:7" x14ac:dyDescent="0.2">
      <c r="F123" s="12">
        <v>46199</v>
      </c>
      <c r="G123" s="25">
        <v>17918</v>
      </c>
    </row>
    <row r="124" spans="6:7" x14ac:dyDescent="0.2">
      <c r="F124" s="12">
        <v>46202</v>
      </c>
      <c r="G124" s="25">
        <v>17848</v>
      </c>
    </row>
    <row r="125" spans="6:7" x14ac:dyDescent="0.2">
      <c r="F125" s="12">
        <v>46203</v>
      </c>
      <c r="G125" s="25">
        <v>17882</v>
      </c>
    </row>
    <row r="126" spans="6:7" x14ac:dyDescent="0.2">
      <c r="F126" s="12">
        <v>46204</v>
      </c>
      <c r="G126" s="25">
        <v>17948</v>
      </c>
    </row>
    <row r="127" spans="6:7" x14ac:dyDescent="0.2">
      <c r="F127" s="12">
        <v>46205</v>
      </c>
      <c r="G127" s="25">
        <v>17994</v>
      </c>
    </row>
    <row r="128" spans="6:7" x14ac:dyDescent="0.2">
      <c r="F128" s="12">
        <v>46206</v>
      </c>
      <c r="G128" s="25">
        <v>17954</v>
      </c>
    </row>
    <row r="129" spans="6:7" x14ac:dyDescent="0.2">
      <c r="F129" s="12">
        <v>46209</v>
      </c>
      <c r="G129" s="25">
        <v>17995</v>
      </c>
    </row>
    <row r="130" spans="6:7" x14ac:dyDescent="0.2">
      <c r="F130" s="12">
        <v>46210</v>
      </c>
      <c r="G130" s="25">
        <v>17982</v>
      </c>
    </row>
    <row r="131" spans="6:7" x14ac:dyDescent="0.2">
      <c r="F131" s="12">
        <v>46211</v>
      </c>
      <c r="G131" s="25">
        <v>17999</v>
      </c>
    </row>
    <row r="132" spans="6:7" x14ac:dyDescent="0.2">
      <c r="F132" s="12">
        <v>46212</v>
      </c>
      <c r="G132" s="25">
        <v>18084</v>
      </c>
    </row>
    <row r="133" spans="6:7" x14ac:dyDescent="0.2">
      <c r="F133" s="12">
        <v>46213</v>
      </c>
      <c r="G133" s="25">
        <v>18055</v>
      </c>
    </row>
    <row r="134" spans="6:7" x14ac:dyDescent="0.2">
      <c r="F134" s="12">
        <v>46216</v>
      </c>
      <c r="G134" s="25">
        <v>18105</v>
      </c>
    </row>
    <row r="135" spans="6:7" x14ac:dyDescent="0.2">
      <c r="F135" s="12">
        <v>46217</v>
      </c>
      <c r="G135" s="25">
        <v>18092</v>
      </c>
    </row>
    <row r="136" spans="6:7" x14ac:dyDescent="0.2">
      <c r="F136" s="12">
        <v>46218</v>
      </c>
      <c r="G136" s="25">
        <v>18067</v>
      </c>
    </row>
    <row r="137" spans="6:7" x14ac:dyDescent="0.2">
      <c r="F137" s="12">
        <v>46219</v>
      </c>
      <c r="G137" s="25">
        <v>17985</v>
      </c>
    </row>
    <row r="138" spans="6:7" x14ac:dyDescent="0.2">
      <c r="F138" s="12">
        <v>46220</v>
      </c>
      <c r="G138" s="25">
        <v>17895</v>
      </c>
    </row>
    <row r="139" spans="6:7" x14ac:dyDescent="0.2">
      <c r="F139" s="12">
        <v>46223</v>
      </c>
      <c r="G139" s="25">
        <v>17942</v>
      </c>
    </row>
    <row r="140" spans="6:7" x14ac:dyDescent="0.2">
      <c r="F140" s="12">
        <v>46224</v>
      </c>
      <c r="G140" s="25">
        <v>17883</v>
      </c>
    </row>
    <row r="141" spans="6:7" x14ac:dyDescent="0.2">
      <c r="F141" s="12">
        <v>46225</v>
      </c>
      <c r="G141" s="25">
        <v>17880</v>
      </c>
    </row>
    <row r="142" spans="6:7" x14ac:dyDescent="0.2">
      <c r="F142" s="12">
        <v>46226</v>
      </c>
      <c r="G142" s="25">
        <v>17915</v>
      </c>
    </row>
    <row r="143" spans="6:7" x14ac:dyDescent="0.2">
      <c r="F143" s="12">
        <v>46227</v>
      </c>
      <c r="G143" s="25">
        <v>17943</v>
      </c>
    </row>
    <row r="144" spans="6:7" x14ac:dyDescent="0.2">
      <c r="F144" s="12">
        <v>46230</v>
      </c>
      <c r="G144" s="25">
        <v>18005</v>
      </c>
    </row>
    <row r="145" spans="6:7" x14ac:dyDescent="0.2">
      <c r="F145" s="12">
        <v>46231</v>
      </c>
      <c r="G145" s="25">
        <v>18067</v>
      </c>
    </row>
    <row r="146" spans="6:7" x14ac:dyDescent="0.2">
      <c r="F146" s="12">
        <v>46232</v>
      </c>
      <c r="G146" s="25">
        <v>18055</v>
      </c>
    </row>
    <row r="147" spans="6:7" x14ac:dyDescent="0.2">
      <c r="F147" s="12">
        <v>46233</v>
      </c>
      <c r="G147" s="25">
        <v>18085</v>
      </c>
    </row>
    <row r="148" spans="6:7" x14ac:dyDescent="0.2">
      <c r="F148" s="12">
        <v>46234</v>
      </c>
      <c r="G148" s="25">
        <v>18000</v>
      </c>
    </row>
    <row r="149" spans="6:7" x14ac:dyDescent="0.2">
      <c r="F149" s="12">
        <v>46237</v>
      </c>
      <c r="G149" s="25">
        <v>17990</v>
      </c>
    </row>
    <row r="150" spans="6:7" x14ac:dyDescent="0.2">
      <c r="F150" s="12">
        <v>46238</v>
      </c>
      <c r="G150" s="25">
        <v>18023</v>
      </c>
    </row>
    <row r="151" spans="6:7" x14ac:dyDescent="0.2">
      <c r="F151" s="12">
        <v>46239</v>
      </c>
      <c r="G151" s="25">
        <v>17930</v>
      </c>
    </row>
    <row r="152" spans="6:7" x14ac:dyDescent="0.2">
      <c r="F152" s="12">
        <v>46240</v>
      </c>
      <c r="G152" s="25">
        <v>17918</v>
      </c>
    </row>
    <row r="153" spans="6:7" x14ac:dyDescent="0.2">
      <c r="F153" s="12">
        <v>46241</v>
      </c>
      <c r="G153" s="25">
        <v>17890</v>
      </c>
    </row>
    <row r="154" spans="6:7" x14ac:dyDescent="0.2">
      <c r="F154" s="12">
        <v>46244</v>
      </c>
      <c r="G154" s="25">
        <v>17762</v>
      </c>
    </row>
    <row r="155" spans="6:7" x14ac:dyDescent="0.2">
      <c r="F155" s="12">
        <v>46245</v>
      </c>
      <c r="G155" s="25">
        <v>17840</v>
      </c>
    </row>
    <row r="156" spans="6:7" x14ac:dyDescent="0.2">
      <c r="F156" s="12">
        <v>46246</v>
      </c>
      <c r="G156" s="25">
        <v>17875</v>
      </c>
    </row>
    <row r="157" spans="6:7" x14ac:dyDescent="0.2">
      <c r="F157" s="12">
        <v>46247</v>
      </c>
      <c r="G157" s="25">
        <v>17870</v>
      </c>
    </row>
    <row r="158" spans="6:7" x14ac:dyDescent="0.2">
      <c r="F158" s="12">
        <v>46248</v>
      </c>
      <c r="G158" s="25">
        <v>17825</v>
      </c>
    </row>
    <row r="159" spans="6:7" x14ac:dyDescent="0.2">
      <c r="F159" s="12">
        <v>46252</v>
      </c>
      <c r="G159" s="25">
        <v>17857</v>
      </c>
    </row>
    <row r="160" spans="6:7" x14ac:dyDescent="0.2">
      <c r="F160" s="12">
        <v>46253</v>
      </c>
      <c r="G160" s="25">
        <v>17833</v>
      </c>
    </row>
    <row r="161" spans="6:7" x14ac:dyDescent="0.2">
      <c r="F161" s="12">
        <v>46254</v>
      </c>
      <c r="G161" s="25">
        <v>17746</v>
      </c>
    </row>
    <row r="162" spans="6:7" x14ac:dyDescent="0.2">
      <c r="F162" s="12">
        <v>46255</v>
      </c>
      <c r="G162" s="25">
        <v>17693</v>
      </c>
    </row>
    <row r="163" spans="6:7" x14ac:dyDescent="0.2">
      <c r="F163" s="12">
        <v>46258</v>
      </c>
      <c r="G163" s="25">
        <v>17712</v>
      </c>
    </row>
    <row r="164" spans="6:7" x14ac:dyDescent="0.2">
      <c r="F164" s="12">
        <v>46260</v>
      </c>
      <c r="G164" s="25">
        <v>17712</v>
      </c>
    </row>
    <row r="165" spans="6:7" x14ac:dyDescent="0.2">
      <c r="F165" s="12">
        <v>46261</v>
      </c>
      <c r="G165" s="25">
        <v>17726</v>
      </c>
    </row>
    <row r="166" spans="6:7" x14ac:dyDescent="0.2">
      <c r="F166" s="12">
        <v>46262</v>
      </c>
      <c r="G166" s="25">
        <v>17692</v>
      </c>
    </row>
    <row r="167" spans="6:7" x14ac:dyDescent="0.2">
      <c r="F167" s="12">
        <v>46265</v>
      </c>
      <c r="G167" s="25">
        <v>17720</v>
      </c>
    </row>
    <row r="168" spans="6:7" x14ac:dyDescent="0.2">
      <c r="F168" s="12">
        <v>46266</v>
      </c>
      <c r="G168" s="25">
        <v>17726</v>
      </c>
    </row>
    <row r="169" spans="6:7" x14ac:dyDescent="0.2">
      <c r="F169" s="12">
        <v>46267</v>
      </c>
      <c r="G169" s="25">
        <v>17760</v>
      </c>
    </row>
    <row r="170" spans="6:7" x14ac:dyDescent="0.2">
      <c r="F170" s="12">
        <v>46268</v>
      </c>
      <c r="G170" s="25">
        <v>17660</v>
      </c>
    </row>
    <row r="171" spans="6:7" x14ac:dyDescent="0.2">
      <c r="F171" s="12">
        <v>46269</v>
      </c>
      <c r="G171" s="25">
        <v>17637</v>
      </c>
    </row>
    <row r="172" spans="6:7" x14ac:dyDescent="0.2">
      <c r="F172" s="12">
        <v>46272</v>
      </c>
      <c r="G172" s="25">
        <v>17640</v>
      </c>
    </row>
    <row r="173" spans="6:7" x14ac:dyDescent="0.2">
      <c r="F173" s="12">
        <v>46273</v>
      </c>
      <c r="G173" s="25">
        <v>17630</v>
      </c>
    </row>
    <row r="174" spans="6:7" x14ac:dyDescent="0.2">
      <c r="F174" s="12">
        <v>46274</v>
      </c>
      <c r="G174" s="25">
        <v>17513</v>
      </c>
    </row>
    <row r="175" spans="6:7" x14ac:dyDescent="0.2">
      <c r="F175" s="12">
        <v>46275</v>
      </c>
      <c r="G175" s="25">
        <v>17539</v>
      </c>
    </row>
    <row r="176" spans="6:7" x14ac:dyDescent="0.2">
      <c r="F176" s="12">
        <v>46276</v>
      </c>
      <c r="G176" s="25">
        <v>17600</v>
      </c>
    </row>
    <row r="177" spans="6:7" x14ac:dyDescent="0.2">
      <c r="F177" s="12">
        <v>46279</v>
      </c>
      <c r="G177" s="25">
        <v>17648</v>
      </c>
    </row>
    <row r="178" spans="6:7" x14ac:dyDescent="0.2">
      <c r="F178" s="12">
        <v>46280</v>
      </c>
      <c r="G178" s="25">
        <v>17691</v>
      </c>
    </row>
    <row r="179" spans="6:7" x14ac:dyDescent="0.2">
      <c r="F179" s="12">
        <v>46281</v>
      </c>
      <c r="G179" s="25">
        <v>17693</v>
      </c>
    </row>
    <row r="180" spans="6:7" x14ac:dyDescent="0.2">
      <c r="F180" s="12">
        <v>46282</v>
      </c>
      <c r="G180" s="25">
        <v>17747</v>
      </c>
    </row>
    <row r="181" spans="6:7" x14ac:dyDescent="0.2">
      <c r="F181" s="12">
        <v>46283</v>
      </c>
      <c r="G181" s="25">
        <v>17742</v>
      </c>
    </row>
    <row r="182" spans="6:7" x14ac:dyDescent="0.2">
      <c r="F182" s="12">
        <v>46286</v>
      </c>
      <c r="G182" s="25">
        <v>17838</v>
      </c>
    </row>
    <row r="183" spans="6:7" x14ac:dyDescent="0.2">
      <c r="F183" s="12">
        <v>46287</v>
      </c>
      <c r="G183" s="25">
        <v>17872</v>
      </c>
    </row>
    <row r="184" spans="6:7" x14ac:dyDescent="0.2">
      <c r="F184" s="12">
        <v>46288</v>
      </c>
      <c r="G184" s="25">
        <v>17800</v>
      </c>
    </row>
    <row r="185" spans="6:7" x14ac:dyDescent="0.2">
      <c r="F185" s="12">
        <v>46289</v>
      </c>
      <c r="G185" s="25">
        <v>17901</v>
      </c>
    </row>
    <row r="186" spans="6:7" x14ac:dyDescent="0.2">
      <c r="F186" s="12">
        <v>46290</v>
      </c>
      <c r="G186" s="25">
        <v>17893</v>
      </c>
    </row>
    <row r="187" spans="6:7" x14ac:dyDescent="0.2">
      <c r="F187" s="12">
        <v>46293</v>
      </c>
      <c r="G187" s="25">
        <v>17975</v>
      </c>
    </row>
    <row r="188" spans="6:7" x14ac:dyDescent="0.2">
      <c r="F188" s="12">
        <v>46294</v>
      </c>
      <c r="G188" s="25">
        <v>17975</v>
      </c>
    </row>
    <row r="189" spans="6:7" x14ac:dyDescent="0.2">
      <c r="F189" s="12">
        <v>46295</v>
      </c>
      <c r="G189" s="25">
        <v>17870</v>
      </c>
    </row>
    <row r="190" spans="6:7" x14ac:dyDescent="0.2">
      <c r="F190" s="12">
        <v>46296</v>
      </c>
      <c r="G190" s="25">
        <v>17950</v>
      </c>
    </row>
    <row r="191" spans="6:7" x14ac:dyDescent="0.2">
      <c r="F191" s="12">
        <v>46297</v>
      </c>
      <c r="G191" s="25">
        <v>17875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9"/>
  <sheetViews>
    <sheetView showGridLines="0" workbookViewId="0"/>
  </sheetViews>
  <sheetFormatPr baseColWidth="10" defaultColWidth="8.83203125" defaultRowHeight="15" x14ac:dyDescent="0.2"/>
  <cols>
    <col min="1" max="1" width="12" customWidth="1"/>
    <col min="2" max="3" width="18" customWidth="1"/>
    <col min="4" max="4" width="11" customWidth="1"/>
    <col min="6" max="6" width="40" customWidth="1"/>
    <col min="7" max="7" width="12" customWidth="1"/>
  </cols>
  <sheetData>
    <row r="1" spans="1:7" ht="18" x14ac:dyDescent="0.2">
      <c r="A1" s="1" t="s">
        <v>148</v>
      </c>
    </row>
    <row r="2" spans="1:7" x14ac:dyDescent="0.2">
      <c r="A2" s="2" t="s">
        <v>149</v>
      </c>
    </row>
    <row r="4" spans="1:7" ht="28" x14ac:dyDescent="0.2">
      <c r="A4" s="10" t="s">
        <v>150</v>
      </c>
      <c r="B4" s="10" t="s">
        <v>151</v>
      </c>
      <c r="C4" s="10" t="s">
        <v>152</v>
      </c>
      <c r="D4" s="10" t="s">
        <v>153</v>
      </c>
      <c r="F4" s="10" t="s">
        <v>154</v>
      </c>
      <c r="G4" s="10" t="s">
        <v>81</v>
      </c>
    </row>
    <row r="5" spans="1:7" x14ac:dyDescent="0.2">
      <c r="A5" s="12">
        <v>45230</v>
      </c>
      <c r="B5" s="34">
        <v>3471.6</v>
      </c>
      <c r="C5" s="17">
        <f t="shared" ref="C5:C39" si="0">B5/1000</f>
        <v>3.4716</v>
      </c>
      <c r="D5" s="20" t="str">
        <f t="shared" ref="D5:D39" si="1">TEXT(A5,"mmm-yy")</f>
        <v>Oct-23</v>
      </c>
      <c r="F5" s="20" t="s">
        <v>155</v>
      </c>
      <c r="G5" s="15">
        <f>C39</f>
        <v>3.5522</v>
      </c>
    </row>
    <row r="6" spans="1:7" x14ac:dyDescent="0.2">
      <c r="A6" s="12">
        <v>45260</v>
      </c>
      <c r="B6" s="34">
        <v>2409.5</v>
      </c>
      <c r="C6" s="17">
        <f t="shared" si="0"/>
        <v>2.4095</v>
      </c>
      <c r="D6" s="20" t="str">
        <f t="shared" si="1"/>
        <v>Nov-23</v>
      </c>
      <c r="F6" s="20" t="s">
        <v>156</v>
      </c>
      <c r="G6" s="15">
        <f>C38</f>
        <v>0.12190000000000001</v>
      </c>
    </row>
    <row r="7" spans="1:7" x14ac:dyDescent="0.2">
      <c r="A7" s="12">
        <v>45291</v>
      </c>
      <c r="B7" s="34">
        <v>3284.5</v>
      </c>
      <c r="C7" s="17">
        <f t="shared" si="0"/>
        <v>3.2845</v>
      </c>
      <c r="D7" s="20" t="str">
        <f t="shared" si="1"/>
        <v>Dec-23</v>
      </c>
      <c r="F7" s="20" t="s">
        <v>157</v>
      </c>
      <c r="G7" s="17">
        <f>C27</f>
        <v>5.5733000000000006</v>
      </c>
    </row>
    <row r="8" spans="1:7" x14ac:dyDescent="0.2">
      <c r="A8" s="12">
        <v>45322</v>
      </c>
      <c r="B8" s="34">
        <v>1982.5</v>
      </c>
      <c r="C8" s="17">
        <f t="shared" si="0"/>
        <v>1.9824999999999999</v>
      </c>
      <c r="D8" s="20" t="str">
        <f t="shared" si="1"/>
        <v>Jan-24</v>
      </c>
      <c r="F8" s="20" t="s">
        <v>158</v>
      </c>
      <c r="G8" s="15">
        <f>SUM(C28:C39)</f>
        <v>19.046900000000001</v>
      </c>
    </row>
    <row r="9" spans="1:7" x14ac:dyDescent="0.2">
      <c r="A9" s="12">
        <v>45351</v>
      </c>
      <c r="B9" s="34">
        <v>841</v>
      </c>
      <c r="C9" s="17">
        <f t="shared" si="0"/>
        <v>0.84099999999999997</v>
      </c>
      <c r="D9" s="20" t="str">
        <f t="shared" si="1"/>
        <v>Feb-24</v>
      </c>
      <c r="F9" s="20" t="s">
        <v>159</v>
      </c>
      <c r="G9" s="15">
        <f>SUM(C16:C27)</f>
        <v>41.669200000000004</v>
      </c>
    </row>
    <row r="10" spans="1:7" x14ac:dyDescent="0.2">
      <c r="A10" s="12">
        <v>45382</v>
      </c>
      <c r="B10" s="34">
        <v>4602.2</v>
      </c>
      <c r="C10" s="17">
        <f t="shared" si="0"/>
        <v>4.6021999999999998</v>
      </c>
      <c r="D10" s="20" t="str">
        <f t="shared" si="1"/>
        <v>Mar-24</v>
      </c>
      <c r="F10" s="20" t="s">
        <v>160</v>
      </c>
      <c r="G10" s="15">
        <f>SUMIFS(C5:C39,A5:A39,"&gt;="&amp;DATE(2026,1,1),A5:A39,"&lt;="&amp;DATE(2026,8,31))</f>
        <v>7.251100000000001</v>
      </c>
    </row>
    <row r="11" spans="1:7" x14ac:dyDescent="0.2">
      <c r="A11" s="12">
        <v>45412</v>
      </c>
      <c r="B11" s="34">
        <v>2699.7</v>
      </c>
      <c r="C11" s="17">
        <f t="shared" si="0"/>
        <v>2.6997</v>
      </c>
      <c r="D11" s="20" t="str">
        <f t="shared" si="1"/>
        <v>Apr-24</v>
      </c>
      <c r="F11" s="20" t="s">
        <v>161</v>
      </c>
      <c r="G11" s="17">
        <f>SUMIFS(C5:C39,A5:A39,"&gt;="&amp;DATE(2025,1,1),A5:A39,"&lt;="&amp;DATE(2025,8,31))</f>
        <v>29.346900000000002</v>
      </c>
    </row>
    <row r="12" spans="1:7" x14ac:dyDescent="0.2">
      <c r="A12" s="12">
        <v>45443</v>
      </c>
      <c r="B12" s="34">
        <v>2936.8</v>
      </c>
      <c r="C12" s="17">
        <f t="shared" si="0"/>
        <v>2.9368000000000003</v>
      </c>
      <c r="D12" s="20" t="str">
        <f t="shared" si="1"/>
        <v>May-24</v>
      </c>
      <c r="F12" s="20" t="s">
        <v>162</v>
      </c>
      <c r="G12" s="16">
        <f>G10/G11-1</f>
        <v>-0.75291768466175302</v>
      </c>
    </row>
    <row r="13" spans="1:7" x14ac:dyDescent="0.2">
      <c r="A13" s="12">
        <v>45473</v>
      </c>
      <c r="B13" s="34">
        <v>2519</v>
      </c>
      <c r="C13" s="17">
        <f t="shared" si="0"/>
        <v>2.5190000000000001</v>
      </c>
      <c r="D13" s="20" t="str">
        <f t="shared" si="1"/>
        <v>Jun-24</v>
      </c>
      <c r="F13" s="20" t="s">
        <v>163</v>
      </c>
      <c r="G13" s="35">
        <f>COUNTIF(C5:C39,"&lt;0")</f>
        <v>2</v>
      </c>
    </row>
    <row r="14" spans="1:7" x14ac:dyDescent="0.2">
      <c r="A14" s="12">
        <v>45504</v>
      </c>
      <c r="B14" s="34">
        <v>671.2</v>
      </c>
      <c r="C14" s="17">
        <f t="shared" si="0"/>
        <v>0.67120000000000002</v>
      </c>
      <c r="D14" s="20" t="str">
        <f t="shared" si="1"/>
        <v>Jul-24</v>
      </c>
    </row>
    <row r="15" spans="1:7" x14ac:dyDescent="0.2">
      <c r="A15" s="12">
        <v>45535</v>
      </c>
      <c r="B15" s="34">
        <v>2755.1</v>
      </c>
      <c r="C15" s="17">
        <f t="shared" si="0"/>
        <v>2.7551000000000001</v>
      </c>
      <c r="D15" s="20" t="str">
        <f t="shared" si="1"/>
        <v>Aug-24</v>
      </c>
    </row>
    <row r="16" spans="1:7" x14ac:dyDescent="0.2">
      <c r="A16" s="12">
        <v>45565</v>
      </c>
      <c r="B16" s="34">
        <v>3176.7</v>
      </c>
      <c r="C16" s="17">
        <f t="shared" si="0"/>
        <v>3.1766999999999999</v>
      </c>
      <c r="D16" s="20" t="str">
        <f t="shared" si="1"/>
        <v>Sep-24</v>
      </c>
    </row>
    <row r="17" spans="1:4" x14ac:dyDescent="0.2">
      <c r="A17" s="12">
        <v>45596</v>
      </c>
      <c r="B17" s="34">
        <v>2711</v>
      </c>
      <c r="C17" s="17">
        <f t="shared" si="0"/>
        <v>2.7109999999999999</v>
      </c>
      <c r="D17" s="20" t="str">
        <f t="shared" si="1"/>
        <v>Oct-24</v>
      </c>
    </row>
    <row r="18" spans="1:4" x14ac:dyDescent="0.2">
      <c r="A18" s="12">
        <v>45626</v>
      </c>
      <c r="B18" s="34">
        <v>4344.3999999999996</v>
      </c>
      <c r="C18" s="17">
        <f t="shared" si="0"/>
        <v>4.3443999999999994</v>
      </c>
      <c r="D18" s="20" t="str">
        <f t="shared" si="1"/>
        <v>Nov-24</v>
      </c>
    </row>
    <row r="19" spans="1:4" x14ac:dyDescent="0.2">
      <c r="A19" s="12">
        <v>45657</v>
      </c>
      <c r="B19" s="34">
        <v>2090.1999999999998</v>
      </c>
      <c r="C19" s="17">
        <f t="shared" si="0"/>
        <v>2.0901999999999998</v>
      </c>
      <c r="D19" s="20" t="str">
        <f t="shared" si="1"/>
        <v>Dec-24</v>
      </c>
    </row>
    <row r="20" spans="1:4" x14ac:dyDescent="0.2">
      <c r="A20" s="12">
        <v>45688</v>
      </c>
      <c r="B20" s="34">
        <v>3540.3</v>
      </c>
      <c r="C20" s="17">
        <f t="shared" si="0"/>
        <v>3.5403000000000002</v>
      </c>
      <c r="D20" s="20" t="str">
        <f t="shared" si="1"/>
        <v>Jan-25</v>
      </c>
    </row>
    <row r="21" spans="1:4" x14ac:dyDescent="0.2">
      <c r="A21" s="12">
        <v>45716</v>
      </c>
      <c r="B21" s="34">
        <v>3155.6</v>
      </c>
      <c r="C21" s="17">
        <f t="shared" si="0"/>
        <v>3.1555999999999997</v>
      </c>
      <c r="D21" s="20" t="str">
        <f t="shared" si="1"/>
        <v>Feb-25</v>
      </c>
    </row>
    <row r="22" spans="1:4" x14ac:dyDescent="0.2">
      <c r="A22" s="12">
        <v>45747</v>
      </c>
      <c r="B22" s="34">
        <v>4296.2</v>
      </c>
      <c r="C22" s="17">
        <f t="shared" si="0"/>
        <v>4.2961999999999998</v>
      </c>
      <c r="D22" s="20" t="str">
        <f t="shared" si="1"/>
        <v>Mar-25</v>
      </c>
    </row>
    <row r="23" spans="1:4" x14ac:dyDescent="0.2">
      <c r="A23" s="12">
        <v>45777</v>
      </c>
      <c r="B23" s="34">
        <v>196.6</v>
      </c>
      <c r="C23" s="17">
        <f t="shared" si="0"/>
        <v>0.1966</v>
      </c>
      <c r="D23" s="20" t="str">
        <f t="shared" si="1"/>
        <v>Apr-25</v>
      </c>
    </row>
    <row r="24" spans="1:4" x14ac:dyDescent="0.2">
      <c r="A24" s="12">
        <v>45808</v>
      </c>
      <c r="B24" s="34">
        <v>4311.6000000000004</v>
      </c>
      <c r="C24" s="17">
        <f t="shared" si="0"/>
        <v>4.3116000000000003</v>
      </c>
      <c r="D24" s="20" t="str">
        <f t="shared" si="1"/>
        <v>May-25</v>
      </c>
    </row>
    <row r="25" spans="1:4" x14ac:dyDescent="0.2">
      <c r="A25" s="12">
        <v>45838</v>
      </c>
      <c r="B25" s="34">
        <v>4095.5</v>
      </c>
      <c r="C25" s="17">
        <f t="shared" si="0"/>
        <v>4.0955000000000004</v>
      </c>
      <c r="D25" s="20" t="str">
        <f t="shared" si="1"/>
        <v>Jun-25</v>
      </c>
    </row>
    <row r="26" spans="1:4" x14ac:dyDescent="0.2">
      <c r="A26" s="12">
        <v>45869</v>
      </c>
      <c r="B26" s="34">
        <v>4177.8</v>
      </c>
      <c r="C26" s="17">
        <f t="shared" si="0"/>
        <v>4.1778000000000004</v>
      </c>
      <c r="D26" s="20" t="str">
        <f t="shared" si="1"/>
        <v>Jul-25</v>
      </c>
    </row>
    <row r="27" spans="1:4" x14ac:dyDescent="0.2">
      <c r="A27" s="12">
        <v>45900</v>
      </c>
      <c r="B27" s="34">
        <v>5573.3</v>
      </c>
      <c r="C27" s="17">
        <f t="shared" si="0"/>
        <v>5.5733000000000006</v>
      </c>
      <c r="D27" s="20" t="str">
        <f t="shared" si="1"/>
        <v>Aug-25</v>
      </c>
    </row>
    <row r="28" spans="1:4" x14ac:dyDescent="0.2">
      <c r="A28" s="12">
        <v>45930</v>
      </c>
      <c r="B28" s="34">
        <v>4198</v>
      </c>
      <c r="C28" s="17">
        <f t="shared" si="0"/>
        <v>4.1980000000000004</v>
      </c>
      <c r="D28" s="20" t="str">
        <f t="shared" si="1"/>
        <v>Sep-25</v>
      </c>
    </row>
    <row r="29" spans="1:4" x14ac:dyDescent="0.2">
      <c r="A29" s="12">
        <v>45961</v>
      </c>
      <c r="B29" s="34">
        <v>2373.8000000000002</v>
      </c>
      <c r="C29" s="17">
        <f t="shared" si="0"/>
        <v>2.3738000000000001</v>
      </c>
      <c r="D29" s="20" t="str">
        <f t="shared" si="1"/>
        <v>Oct-25</v>
      </c>
    </row>
    <row r="30" spans="1:4" x14ac:dyDescent="0.2">
      <c r="A30" s="12">
        <v>45991</v>
      </c>
      <c r="B30" s="34">
        <v>2704.9</v>
      </c>
      <c r="C30" s="17">
        <f t="shared" si="0"/>
        <v>2.7049000000000003</v>
      </c>
      <c r="D30" s="20" t="str">
        <f t="shared" si="1"/>
        <v>Nov-25</v>
      </c>
    </row>
    <row r="31" spans="1:4" x14ac:dyDescent="0.2">
      <c r="A31" s="12">
        <v>46022</v>
      </c>
      <c r="B31" s="34">
        <v>2519.1</v>
      </c>
      <c r="C31" s="17">
        <f t="shared" si="0"/>
        <v>2.5190999999999999</v>
      </c>
      <c r="D31" s="20" t="str">
        <f t="shared" si="1"/>
        <v>Dec-25</v>
      </c>
    </row>
    <row r="32" spans="1:4" x14ac:dyDescent="0.2">
      <c r="A32" s="12">
        <v>46053</v>
      </c>
      <c r="B32" s="34">
        <v>954.3</v>
      </c>
      <c r="C32" s="17">
        <f t="shared" si="0"/>
        <v>0.95429999999999993</v>
      </c>
      <c r="D32" s="20" t="str">
        <f t="shared" si="1"/>
        <v>Jan-26</v>
      </c>
    </row>
    <row r="33" spans="1:4" x14ac:dyDescent="0.2">
      <c r="A33" s="12">
        <v>46081</v>
      </c>
      <c r="B33" s="34">
        <v>1273.3</v>
      </c>
      <c r="C33" s="17">
        <f t="shared" si="0"/>
        <v>1.2732999999999999</v>
      </c>
      <c r="D33" s="20" t="str">
        <f t="shared" si="1"/>
        <v>Feb-26</v>
      </c>
    </row>
    <row r="34" spans="1:4" x14ac:dyDescent="0.2">
      <c r="A34" s="12">
        <v>46112</v>
      </c>
      <c r="B34" s="34">
        <v>3321</v>
      </c>
      <c r="C34" s="17">
        <f t="shared" si="0"/>
        <v>3.3210000000000002</v>
      </c>
      <c r="D34" s="20" t="str">
        <f t="shared" si="1"/>
        <v>Mar-26</v>
      </c>
    </row>
    <row r="35" spans="1:4" x14ac:dyDescent="0.2">
      <c r="A35" s="12">
        <v>46142</v>
      </c>
      <c r="B35" s="34">
        <v>89.1</v>
      </c>
      <c r="C35" s="17">
        <f t="shared" si="0"/>
        <v>8.9099999999999999E-2</v>
      </c>
      <c r="D35" s="20" t="str">
        <f t="shared" si="1"/>
        <v>Apr-26</v>
      </c>
    </row>
    <row r="36" spans="1:4" x14ac:dyDescent="0.2">
      <c r="A36" s="12">
        <v>46173</v>
      </c>
      <c r="B36" s="34">
        <v>-1610.2</v>
      </c>
      <c r="C36" s="17">
        <f t="shared" si="0"/>
        <v>-1.6102000000000001</v>
      </c>
      <c r="D36" s="20" t="str">
        <f t="shared" si="1"/>
        <v>May-26</v>
      </c>
    </row>
    <row r="37" spans="1:4" x14ac:dyDescent="0.2">
      <c r="A37" s="12">
        <v>46203</v>
      </c>
      <c r="B37" s="34">
        <v>-450.5</v>
      </c>
      <c r="C37" s="17">
        <f t="shared" si="0"/>
        <v>-0.45050000000000001</v>
      </c>
      <c r="D37" s="20" t="str">
        <f t="shared" si="1"/>
        <v>Jun-26</v>
      </c>
    </row>
    <row r="38" spans="1:4" x14ac:dyDescent="0.2">
      <c r="A38" s="12">
        <v>46234</v>
      </c>
      <c r="B38" s="34">
        <v>121.9</v>
      </c>
      <c r="C38" s="17">
        <f t="shared" si="0"/>
        <v>0.12190000000000001</v>
      </c>
      <c r="D38" s="20" t="str">
        <f t="shared" si="1"/>
        <v>Jul-26</v>
      </c>
    </row>
    <row r="39" spans="1:4" x14ac:dyDescent="0.2">
      <c r="A39" s="12">
        <v>46265</v>
      </c>
      <c r="B39" s="34">
        <v>3552.2</v>
      </c>
      <c r="C39" s="17">
        <f t="shared" si="0"/>
        <v>3.5522</v>
      </c>
      <c r="D39" s="20" t="str">
        <f t="shared" si="1"/>
        <v>Aug-26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showGridLines="0" workbookViewId="0"/>
  </sheetViews>
  <sheetFormatPr baseColWidth="10" defaultColWidth="8.83203125" defaultRowHeight="15" x14ac:dyDescent="0.2"/>
  <cols>
    <col min="1" max="1" width="22" customWidth="1"/>
    <col min="2" max="2" width="12" customWidth="1"/>
    <col min="3" max="3" width="40" customWidth="1"/>
    <col min="4" max="4" width="20" customWidth="1"/>
    <col min="5" max="5" width="13" customWidth="1"/>
    <col min="6" max="6" width="16" customWidth="1"/>
  </cols>
  <sheetData>
    <row r="1" spans="1:6" ht="18" x14ac:dyDescent="0.2">
      <c r="A1" s="1" t="s">
        <v>164</v>
      </c>
    </row>
    <row r="2" spans="1:6" x14ac:dyDescent="0.2">
      <c r="A2" s="2" t="s">
        <v>165</v>
      </c>
    </row>
    <row r="4" spans="1:6" x14ac:dyDescent="0.2">
      <c r="A4" s="10" t="s">
        <v>166</v>
      </c>
      <c r="B4" s="10" t="s">
        <v>90</v>
      </c>
      <c r="C4" s="10" t="s">
        <v>91</v>
      </c>
      <c r="D4" s="10" t="s">
        <v>92</v>
      </c>
      <c r="E4" s="10" t="s">
        <v>93</v>
      </c>
      <c r="F4" s="10" t="s">
        <v>167</v>
      </c>
    </row>
    <row r="5" spans="1:6" x14ac:dyDescent="0.2">
      <c r="A5" s="11" t="s">
        <v>168</v>
      </c>
      <c r="B5" s="25">
        <v>-27851</v>
      </c>
      <c r="C5" s="25">
        <v>-29876</v>
      </c>
      <c r="D5" s="25">
        <v>-39522</v>
      </c>
      <c r="E5" s="25">
        <v>-21383</v>
      </c>
      <c r="F5" s="15">
        <f>-SUM(B5:E5)/1000</f>
        <v>118.63200000000001</v>
      </c>
    </row>
    <row r="6" spans="1:6" x14ac:dyDescent="0.2">
      <c r="A6" s="11" t="s">
        <v>169</v>
      </c>
      <c r="B6" s="25">
        <v>-35674</v>
      </c>
      <c r="C6" s="25">
        <v>-30876</v>
      </c>
      <c r="D6" s="25">
        <v>-44203</v>
      </c>
      <c r="E6" s="25">
        <v>-18997</v>
      </c>
      <c r="F6" s="17">
        <f>-SUM(B6:E6)/1000</f>
        <v>129.75</v>
      </c>
    </row>
    <row r="7" spans="1:6" x14ac:dyDescent="0.2">
      <c r="A7" s="11" t="s">
        <v>170</v>
      </c>
      <c r="B7" s="25">
        <v>-44924</v>
      </c>
      <c r="C7" s="25">
        <v>-35802</v>
      </c>
      <c r="D7" s="25">
        <v>-54208</v>
      </c>
      <c r="E7" s="25">
        <v>-30116</v>
      </c>
      <c r="F7" s="15">
        <f>-SUM(B7:E7)/1000</f>
        <v>165.05</v>
      </c>
    </row>
    <row r="8" spans="1:6" x14ac:dyDescent="0.2">
      <c r="A8" s="24" t="s">
        <v>171</v>
      </c>
      <c r="F8" s="16">
        <f>F7/F5-1</f>
        <v>0.39127722705509482</v>
      </c>
    </row>
    <row r="10" spans="1:6" ht="28" x14ac:dyDescent="0.2">
      <c r="A10" s="10" t="s">
        <v>172</v>
      </c>
      <c r="B10" s="10" t="s">
        <v>166</v>
      </c>
      <c r="C10" s="10" t="s">
        <v>173</v>
      </c>
    </row>
    <row r="11" spans="1:6" x14ac:dyDescent="0.2">
      <c r="A11" s="12">
        <v>45991</v>
      </c>
      <c r="B11" s="25">
        <v>-12033</v>
      </c>
      <c r="C11" s="15">
        <f>-B11/1000</f>
        <v>12.032999999999999</v>
      </c>
    </row>
    <row r="12" spans="1:6" x14ac:dyDescent="0.2">
      <c r="A12" s="12">
        <v>46081</v>
      </c>
      <c r="B12" s="25">
        <v>-18635</v>
      </c>
      <c r="C12" s="17">
        <f>-B12/1000</f>
        <v>18.635000000000002</v>
      </c>
    </row>
    <row r="13" spans="1:6" x14ac:dyDescent="0.2">
      <c r="A13" s="12">
        <v>46173</v>
      </c>
      <c r="B13" s="25">
        <v>-16493</v>
      </c>
      <c r="C13" s="17">
        <f>-B13/1000</f>
        <v>16.492999999999999</v>
      </c>
    </row>
    <row r="14" spans="1:6" x14ac:dyDescent="0.2">
      <c r="A14" s="12">
        <v>46265</v>
      </c>
      <c r="B14" s="25">
        <v>-28499</v>
      </c>
      <c r="C14" s="15">
        <f>-B14/1000</f>
        <v>28.498999999999999</v>
      </c>
    </row>
    <row r="15" spans="1:6" x14ac:dyDescent="0.2">
      <c r="A15" s="24" t="s">
        <v>174</v>
      </c>
      <c r="C15" s="36">
        <f>C14/C11</f>
        <v>2.3684035568852324</v>
      </c>
    </row>
    <row r="17" spans="1:5" x14ac:dyDescent="0.2">
      <c r="A17" s="10" t="s">
        <v>175</v>
      </c>
      <c r="B17" s="10" t="s">
        <v>81</v>
      </c>
      <c r="C17" s="10" t="s">
        <v>176</v>
      </c>
    </row>
    <row r="18" spans="1:5" x14ac:dyDescent="0.2">
      <c r="A18" s="20" t="s">
        <v>177</v>
      </c>
      <c r="B18" s="9">
        <v>33.36</v>
      </c>
      <c r="C18" s="20" t="s">
        <v>178</v>
      </c>
    </row>
    <row r="19" spans="1:5" x14ac:dyDescent="0.2">
      <c r="A19" s="20" t="s">
        <v>179</v>
      </c>
      <c r="B19" s="9">
        <v>2.86</v>
      </c>
      <c r="C19" s="20" t="s">
        <v>180</v>
      </c>
    </row>
    <row r="20" spans="1:5" x14ac:dyDescent="0.2">
      <c r="A20" s="20" t="s">
        <v>181</v>
      </c>
      <c r="B20" s="9">
        <v>156.53200000000001</v>
      </c>
      <c r="C20" s="20" t="s">
        <v>182</v>
      </c>
    </row>
    <row r="21" spans="1:5" x14ac:dyDescent="0.2">
      <c r="A21" s="20" t="s">
        <v>183</v>
      </c>
      <c r="B21" s="9">
        <v>169.893</v>
      </c>
      <c r="C21" s="20"/>
    </row>
    <row r="22" spans="1:5" x14ac:dyDescent="0.2">
      <c r="A22" s="24" t="s">
        <v>184</v>
      </c>
      <c r="B22" s="16">
        <f>B21/B20-1</f>
        <v>8.5356348861574505E-2</v>
      </c>
    </row>
    <row r="24" spans="1:5" ht="28" x14ac:dyDescent="0.2">
      <c r="A24" s="10" t="s">
        <v>185</v>
      </c>
      <c r="B24" s="10" t="s">
        <v>186</v>
      </c>
      <c r="C24" s="10" t="s">
        <v>187</v>
      </c>
      <c r="D24" s="10" t="s">
        <v>188</v>
      </c>
      <c r="E24" s="10" t="s">
        <v>189</v>
      </c>
    </row>
    <row r="25" spans="1:5" x14ac:dyDescent="0.2">
      <c r="A25" s="11" t="s">
        <v>190</v>
      </c>
      <c r="B25" s="9">
        <v>4.8</v>
      </c>
      <c r="C25" s="11" t="s">
        <v>191</v>
      </c>
      <c r="D25" s="11" t="s">
        <v>192</v>
      </c>
      <c r="E25" s="28">
        <v>5.922264849558629</v>
      </c>
    </row>
    <row r="26" spans="1:5" x14ac:dyDescent="0.2">
      <c r="A26" s="11" t="s">
        <v>190</v>
      </c>
      <c r="B26" s="9">
        <v>5.45</v>
      </c>
      <c r="C26" s="11" t="s">
        <v>193</v>
      </c>
      <c r="D26" s="11" t="s">
        <v>192</v>
      </c>
      <c r="E26" s="28">
        <v>5.9675361146949211</v>
      </c>
    </row>
    <row r="27" spans="1:5" x14ac:dyDescent="0.2">
      <c r="A27" s="11" t="s">
        <v>194</v>
      </c>
      <c r="B27" s="9">
        <v>4.875</v>
      </c>
      <c r="C27" s="11" t="s">
        <v>195</v>
      </c>
      <c r="D27" s="11" t="s">
        <v>196</v>
      </c>
      <c r="E27" s="28">
        <v>5.9990147203562891</v>
      </c>
    </row>
    <row r="28" spans="1:5" x14ac:dyDescent="0.2">
      <c r="A28" s="11" t="s">
        <v>194</v>
      </c>
      <c r="B28" s="9">
        <v>5.3</v>
      </c>
      <c r="C28" s="11" t="s">
        <v>197</v>
      </c>
      <c r="D28" s="11" t="s">
        <v>196</v>
      </c>
      <c r="E28" s="28">
        <v>6.0110363152372166</v>
      </c>
    </row>
    <row r="29" spans="1:5" x14ac:dyDescent="0.2">
      <c r="A29" s="11" t="s">
        <v>198</v>
      </c>
      <c r="B29" s="9">
        <v>5.25</v>
      </c>
      <c r="C29" s="11" t="s">
        <v>199</v>
      </c>
      <c r="D29" s="11" t="s">
        <v>196</v>
      </c>
      <c r="E29" s="28">
        <v>6.1987022994671168</v>
      </c>
    </row>
    <row r="30" spans="1:5" x14ac:dyDescent="0.2">
      <c r="A30" s="11" t="s">
        <v>200</v>
      </c>
      <c r="B30" s="9">
        <v>3.45</v>
      </c>
      <c r="C30" s="11" t="s">
        <v>201</v>
      </c>
      <c r="D30" s="11" t="s">
        <v>202</v>
      </c>
      <c r="E30" s="28">
        <v>5.5770173278332624</v>
      </c>
    </row>
    <row r="31" spans="1:5" x14ac:dyDescent="0.2">
      <c r="A31" s="11" t="s">
        <v>203</v>
      </c>
      <c r="B31" s="9">
        <v>5.7</v>
      </c>
      <c r="C31" s="11" t="s">
        <v>204</v>
      </c>
      <c r="D31" s="11" t="s">
        <v>205</v>
      </c>
      <c r="E31" s="28">
        <v>7.4604158035975967</v>
      </c>
    </row>
    <row r="32" spans="1:5" x14ac:dyDescent="0.2">
      <c r="A32" s="11" t="s">
        <v>203</v>
      </c>
      <c r="B32" s="9">
        <v>3.85</v>
      </c>
      <c r="C32" s="11" t="s">
        <v>206</v>
      </c>
      <c r="D32" s="11" t="s">
        <v>205</v>
      </c>
      <c r="E32" s="28">
        <v>7.3959811350322102</v>
      </c>
    </row>
    <row r="33" spans="1:5" x14ac:dyDescent="0.2">
      <c r="A33" s="24" t="s">
        <v>207</v>
      </c>
      <c r="D33" s="15">
        <f>MIN(E25:E32)</f>
        <v>5.5770173278332624</v>
      </c>
      <c r="E33" s="15">
        <f>MAX(E25:E32)</f>
        <v>7.4604158035975967</v>
      </c>
    </row>
    <row r="34" spans="1:5" x14ac:dyDescent="0.2">
      <c r="A34" s="24" t="s">
        <v>208</v>
      </c>
      <c r="E34" s="37">
        <f>(E33-D33)*100</f>
        <v>188.33984757643344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9"/>
  <sheetViews>
    <sheetView showGridLines="0" workbookViewId="0"/>
  </sheetViews>
  <sheetFormatPr baseColWidth="10" defaultColWidth="8.83203125" defaultRowHeight="15" x14ac:dyDescent="0.2"/>
  <cols>
    <col min="1" max="1" width="12" customWidth="1"/>
    <col min="2" max="2" width="18" customWidth="1"/>
    <col min="3" max="3" width="13" customWidth="1"/>
    <col min="4" max="4" width="12" customWidth="1"/>
    <col min="6" max="6" width="40" customWidth="1"/>
    <col min="7" max="7" width="12" customWidth="1"/>
  </cols>
  <sheetData>
    <row r="1" spans="1:7" ht="18" x14ac:dyDescent="0.2">
      <c r="A1" s="1" t="s">
        <v>209</v>
      </c>
    </row>
    <row r="2" spans="1:7" x14ac:dyDescent="0.2">
      <c r="A2" s="2" t="s">
        <v>210</v>
      </c>
    </row>
    <row r="4" spans="1:7" ht="28" x14ac:dyDescent="0.2">
      <c r="A4" s="10" t="s">
        <v>64</v>
      </c>
      <c r="B4" s="10" t="s">
        <v>211</v>
      </c>
      <c r="C4" s="10" t="s">
        <v>65</v>
      </c>
      <c r="D4" s="10" t="s">
        <v>212</v>
      </c>
      <c r="F4" s="10" t="s">
        <v>69</v>
      </c>
      <c r="G4" s="10" t="s">
        <v>81</v>
      </c>
    </row>
    <row r="5" spans="1:7" x14ac:dyDescent="0.2">
      <c r="A5" s="12">
        <v>46021</v>
      </c>
      <c r="B5" s="9">
        <v>6.0860000000000003</v>
      </c>
      <c r="C5" s="38" t="str">
        <f>IFERROR(INDEX(Ex2_UST_ACM!$B$5:$B$194,MATCH(A5,Ex2_UST_ACM!$A$5:$A$194,0)),"")</f>
        <v/>
      </c>
      <c r="D5" s="19" t="str">
        <f t="shared" ref="D5:D36" si="0">IF(C5="","",(B5-C5)*100)</f>
        <v/>
      </c>
      <c r="F5" s="20" t="s">
        <v>213</v>
      </c>
      <c r="G5" s="21">
        <f>MAX(D5:D179)</f>
        <v>298.39000000000004</v>
      </c>
    </row>
    <row r="6" spans="1:7" x14ac:dyDescent="0.2">
      <c r="A6" s="12">
        <v>46024</v>
      </c>
      <c r="B6" s="9">
        <v>6.0460000000000003</v>
      </c>
      <c r="C6" s="38">
        <f>IFERROR(INDEX(Ex2_UST_ACM!$B$5:$B$194,MATCH(A6,Ex2_UST_ACM!$A$5:$A$194,0)),"")</f>
        <v>4.1906999999999996</v>
      </c>
      <c r="D6" s="19">
        <f t="shared" si="0"/>
        <v>185.53000000000006</v>
      </c>
      <c r="F6" s="20" t="s">
        <v>214</v>
      </c>
      <c r="G6" s="33">
        <f>INDEX(A5:A179,MATCH(G5,D5:D179,0))</f>
        <v>46184</v>
      </c>
    </row>
    <row r="7" spans="1:7" x14ac:dyDescent="0.2">
      <c r="A7" s="12">
        <v>46027</v>
      </c>
      <c r="B7" s="9">
        <v>6.09</v>
      </c>
      <c r="C7" s="38">
        <f>IFERROR(INDEX(Ex2_UST_ACM!$B$5:$B$194,MATCH(A7,Ex2_UST_ACM!$A$5:$A$194,0)),"")</f>
        <v>4.1612</v>
      </c>
      <c r="D7" s="19">
        <f t="shared" si="0"/>
        <v>192.88</v>
      </c>
      <c r="F7" s="20" t="s">
        <v>215</v>
      </c>
      <c r="G7" s="21">
        <f>INDEX(D5:D179,MATCH(DATE(2026,10,2),A5:A179,0))</f>
        <v>189.54000000000005</v>
      </c>
    </row>
    <row r="8" spans="1:7" x14ac:dyDescent="0.2">
      <c r="A8" s="12">
        <v>46028</v>
      </c>
      <c r="B8" s="9">
        <v>6.0970000000000004</v>
      </c>
      <c r="C8" s="38">
        <f>IFERROR(INDEX(Ex2_UST_ACM!$B$5:$B$194,MATCH(A8,Ex2_UST_ACM!$A$5:$A$194,0)),"")</f>
        <v>4.173</v>
      </c>
      <c r="D8" s="19">
        <f t="shared" si="0"/>
        <v>192.40000000000003</v>
      </c>
      <c r="F8" s="20" t="s">
        <v>216</v>
      </c>
      <c r="G8" s="21">
        <f>(INDEX(C5:C179,MATCH(DATE(2026,10,2),A5:A179,0))-INDEX(C5:C179,MATCH(DATE(2026,6,11),A5:A179,0)))*100</f>
        <v>80.949999999999989</v>
      </c>
    </row>
    <row r="9" spans="1:7" x14ac:dyDescent="0.2">
      <c r="A9" s="12">
        <v>46029</v>
      </c>
      <c r="B9" s="9">
        <v>6.1029999999999998</v>
      </c>
      <c r="C9" s="38">
        <f>IFERROR(INDEX(Ex2_UST_ACM!$B$5:$B$194,MATCH(A9,Ex2_UST_ACM!$A$5:$A$194,0)),"")</f>
        <v>4.1475</v>
      </c>
      <c r="D9" s="19">
        <f t="shared" si="0"/>
        <v>195.54999999999998</v>
      </c>
      <c r="F9" s="20" t="s">
        <v>217</v>
      </c>
      <c r="G9" s="21">
        <f>(INDEX(B5:B179,MATCH(DATE(2026,10,2),A5:A179,0))-INDEX(B5:B179,MATCH(DATE(2026,6,11),A5:A179,0)))*100</f>
        <v>-27.899999999999991</v>
      </c>
    </row>
    <row r="10" spans="1:7" x14ac:dyDescent="0.2">
      <c r="A10" s="12">
        <v>46030</v>
      </c>
      <c r="B10" s="9">
        <v>6.1269999999999998</v>
      </c>
      <c r="C10" s="38">
        <f>IFERROR(INDEX(Ex2_UST_ACM!$B$5:$B$194,MATCH(A10,Ex2_UST_ACM!$A$5:$A$194,0)),"")</f>
        <v>4.1672000000000002</v>
      </c>
      <c r="D10" s="19">
        <f t="shared" si="0"/>
        <v>195.97999999999996</v>
      </c>
      <c r="F10" s="20" t="s">
        <v>218</v>
      </c>
      <c r="G10" s="39">
        <f>INDEX(B5:B179,MATCH(DATE(2026,10,2),A5:A179,0))</f>
        <v>7.1660000000000004</v>
      </c>
    </row>
    <row r="11" spans="1:7" x14ac:dyDescent="0.2">
      <c r="A11" s="12">
        <v>46031</v>
      </c>
      <c r="B11" s="9">
        <v>6.133</v>
      </c>
      <c r="C11" s="38">
        <f>IFERROR(INDEX(Ex2_UST_ACM!$B$5:$B$194,MATCH(A11,Ex2_UST_ACM!$A$5:$A$194,0)),"")</f>
        <v>4.1653000000000002</v>
      </c>
      <c r="D11" s="19">
        <f t="shared" si="0"/>
        <v>196.76999999999998</v>
      </c>
    </row>
    <row r="12" spans="1:7" x14ac:dyDescent="0.2">
      <c r="A12" s="12">
        <v>46034</v>
      </c>
      <c r="B12" s="9">
        <v>6.1820000000000004</v>
      </c>
      <c r="C12" s="38">
        <f>IFERROR(INDEX(Ex2_UST_ACM!$B$5:$B$194,MATCH(A12,Ex2_UST_ACM!$A$5:$A$194,0)),"")</f>
        <v>4.1752000000000002</v>
      </c>
      <c r="D12" s="19">
        <f t="shared" si="0"/>
        <v>200.68</v>
      </c>
    </row>
    <row r="13" spans="1:7" x14ac:dyDescent="0.2">
      <c r="A13" s="12">
        <v>46035</v>
      </c>
      <c r="B13" s="9">
        <v>6.1970000000000001</v>
      </c>
      <c r="C13" s="38">
        <f>IFERROR(INDEX(Ex2_UST_ACM!$B$5:$B$194,MATCH(A13,Ex2_UST_ACM!$A$5:$A$194,0)),"")</f>
        <v>4.1791999999999998</v>
      </c>
      <c r="D13" s="19">
        <f t="shared" si="0"/>
        <v>201.78000000000003</v>
      </c>
      <c r="F13" s="10" t="s">
        <v>219</v>
      </c>
      <c r="G13" s="10" t="s">
        <v>81</v>
      </c>
    </row>
    <row r="14" spans="1:7" x14ac:dyDescent="0.2">
      <c r="A14" s="12">
        <v>46036</v>
      </c>
      <c r="B14" s="9">
        <v>6.2389999999999999</v>
      </c>
      <c r="C14" s="38">
        <f>IFERROR(INDEX(Ex2_UST_ACM!$B$5:$B$194,MATCH(A14,Ex2_UST_ACM!$A$5:$A$194,0)),"")</f>
        <v>4.1319999999999997</v>
      </c>
      <c r="D14" s="19">
        <f t="shared" si="0"/>
        <v>210.70000000000002</v>
      </c>
      <c r="F14" s="12">
        <v>45930</v>
      </c>
      <c r="G14" s="28">
        <v>2.65</v>
      </c>
    </row>
    <row r="15" spans="1:7" x14ac:dyDescent="0.2">
      <c r="A15" s="12">
        <v>46037</v>
      </c>
      <c r="B15" s="9">
        <v>6.2489999999999997</v>
      </c>
      <c r="C15" s="38">
        <f>IFERROR(INDEX(Ex2_UST_ACM!$B$5:$B$194,MATCH(A15,Ex2_UST_ACM!$A$5:$A$194,0)),"")</f>
        <v>4.1694000000000004</v>
      </c>
      <c r="D15" s="19">
        <f t="shared" si="0"/>
        <v>207.95999999999992</v>
      </c>
      <c r="F15" s="12">
        <v>45961</v>
      </c>
      <c r="G15" s="28">
        <v>2.86</v>
      </c>
    </row>
    <row r="16" spans="1:7" x14ac:dyDescent="0.2">
      <c r="A16" s="12">
        <v>46041</v>
      </c>
      <c r="B16" s="9">
        <v>6.2949999999999999</v>
      </c>
      <c r="C16" s="38" t="str">
        <f>IFERROR(INDEX(Ex2_UST_ACM!$B$5:$B$194,MATCH(A16,Ex2_UST_ACM!$A$5:$A$194,0)),"")</f>
        <v/>
      </c>
      <c r="D16" s="19" t="str">
        <f t="shared" si="0"/>
        <v/>
      </c>
      <c r="F16" s="12">
        <v>45991</v>
      </c>
      <c r="G16" s="28">
        <v>2.72</v>
      </c>
    </row>
    <row r="17" spans="1:7" x14ac:dyDescent="0.2">
      <c r="A17" s="12">
        <v>46042</v>
      </c>
      <c r="B17" s="9">
        <v>6.3209999999999997</v>
      </c>
      <c r="C17" s="38">
        <f>IFERROR(INDEX(Ex2_UST_ACM!$B$5:$B$194,MATCH(A17,Ex2_UST_ACM!$A$5:$A$194,0)),"")</f>
        <v>4.2925000000000004</v>
      </c>
      <c r="D17" s="19">
        <f t="shared" si="0"/>
        <v>202.84999999999994</v>
      </c>
      <c r="F17" s="12">
        <v>46022</v>
      </c>
      <c r="G17" s="28">
        <v>2.92</v>
      </c>
    </row>
    <row r="18" spans="1:7" x14ac:dyDescent="0.2">
      <c r="A18" s="12">
        <v>46043</v>
      </c>
      <c r="B18" s="9">
        <v>6.3330000000000002</v>
      </c>
      <c r="C18" s="38">
        <f>IFERROR(INDEX(Ex2_UST_ACM!$B$5:$B$194,MATCH(A18,Ex2_UST_ACM!$A$5:$A$194,0)),"")</f>
        <v>4.2427999999999999</v>
      </c>
      <c r="D18" s="19">
        <f t="shared" si="0"/>
        <v>209.02000000000004</v>
      </c>
      <c r="F18" s="12">
        <v>46053</v>
      </c>
      <c r="G18" s="28">
        <v>3.55</v>
      </c>
    </row>
    <row r="19" spans="1:7" x14ac:dyDescent="0.2">
      <c r="A19" s="12">
        <v>46044</v>
      </c>
      <c r="B19" s="9">
        <v>6.343</v>
      </c>
      <c r="C19" s="38">
        <f>IFERROR(INDEX(Ex2_UST_ACM!$B$5:$B$194,MATCH(A19,Ex2_UST_ACM!$A$5:$A$194,0)),"")</f>
        <v>4.2449000000000003</v>
      </c>
      <c r="D19" s="19">
        <f t="shared" si="0"/>
        <v>209.80999999999997</v>
      </c>
      <c r="F19" s="12">
        <v>46081</v>
      </c>
      <c r="G19" s="28">
        <v>4.76</v>
      </c>
    </row>
    <row r="20" spans="1:7" x14ac:dyDescent="0.2">
      <c r="A20" s="12">
        <v>46045</v>
      </c>
      <c r="B20" s="9">
        <v>6.3970000000000002</v>
      </c>
      <c r="C20" s="38">
        <f>IFERROR(INDEX(Ex2_UST_ACM!$B$5:$B$194,MATCH(A20,Ex2_UST_ACM!$A$5:$A$194,0)),"")</f>
        <v>4.2252000000000001</v>
      </c>
      <c r="D20" s="19">
        <f t="shared" si="0"/>
        <v>217.18</v>
      </c>
      <c r="F20" s="12">
        <v>46112</v>
      </c>
      <c r="G20" s="28">
        <v>3.48</v>
      </c>
    </row>
    <row r="21" spans="1:7" x14ac:dyDescent="0.2">
      <c r="A21" s="12">
        <v>46048</v>
      </c>
      <c r="B21" s="9">
        <v>6.3689999999999998</v>
      </c>
      <c r="C21" s="38">
        <f>IFERROR(INDEX(Ex2_UST_ACM!$B$5:$B$194,MATCH(A21,Ex2_UST_ACM!$A$5:$A$194,0)),"")</f>
        <v>4.2112999999999996</v>
      </c>
      <c r="D21" s="19">
        <f t="shared" si="0"/>
        <v>215.77</v>
      </c>
      <c r="F21" s="12">
        <v>46142</v>
      </c>
      <c r="G21" s="28">
        <v>2.42</v>
      </c>
    </row>
    <row r="22" spans="1:7" x14ac:dyDescent="0.2">
      <c r="A22" s="12">
        <v>46049</v>
      </c>
      <c r="B22" s="9">
        <v>6.359</v>
      </c>
      <c r="C22" s="38">
        <f>IFERROR(INDEX(Ex2_UST_ACM!$B$5:$B$194,MATCH(A22,Ex2_UST_ACM!$A$5:$A$194,0)),"")</f>
        <v>4.2431999999999999</v>
      </c>
      <c r="D22" s="19">
        <f t="shared" si="0"/>
        <v>211.58</v>
      </c>
      <c r="F22" s="12">
        <v>46173</v>
      </c>
      <c r="G22" s="28">
        <v>3.08</v>
      </c>
    </row>
    <row r="23" spans="1:7" x14ac:dyDescent="0.2">
      <c r="A23" s="12">
        <v>46050</v>
      </c>
      <c r="B23" s="9">
        <v>6.3639999999999999</v>
      </c>
      <c r="C23" s="38">
        <f>IFERROR(INDEX(Ex2_UST_ACM!$B$5:$B$194,MATCH(A23,Ex2_UST_ACM!$A$5:$A$194,0)),"")</f>
        <v>4.2431999999999999</v>
      </c>
      <c r="D23" s="19">
        <f t="shared" si="0"/>
        <v>212.08</v>
      </c>
      <c r="F23" s="12">
        <v>46203</v>
      </c>
      <c r="G23" s="28">
        <v>3.34</v>
      </c>
    </row>
    <row r="24" spans="1:7" x14ac:dyDescent="0.2">
      <c r="A24" s="12">
        <v>46051</v>
      </c>
      <c r="B24" s="9">
        <v>6.37</v>
      </c>
      <c r="C24" s="38">
        <f>IFERROR(INDEX(Ex2_UST_ACM!$B$5:$B$194,MATCH(A24,Ex2_UST_ACM!$A$5:$A$194,0)),"")</f>
        <v>4.2313000000000001</v>
      </c>
      <c r="D24" s="19">
        <f t="shared" si="0"/>
        <v>213.87</v>
      </c>
      <c r="F24" s="12">
        <v>46234</v>
      </c>
      <c r="G24" s="28">
        <v>2.88</v>
      </c>
    </row>
    <row r="25" spans="1:7" x14ac:dyDescent="0.2">
      <c r="A25" s="12">
        <v>46052</v>
      </c>
      <c r="B25" s="9">
        <v>6.3339999999999996</v>
      </c>
      <c r="C25" s="38">
        <f>IFERROR(INDEX(Ex2_UST_ACM!$B$5:$B$194,MATCH(A25,Ex2_UST_ACM!$A$5:$A$194,0)),"")</f>
        <v>4.2355</v>
      </c>
      <c r="D25" s="19">
        <f t="shared" si="0"/>
        <v>209.84999999999997</v>
      </c>
      <c r="F25" s="12">
        <v>46265</v>
      </c>
      <c r="G25" s="28">
        <v>3.19</v>
      </c>
    </row>
    <row r="26" spans="1:7" x14ac:dyDescent="0.2">
      <c r="A26" s="12">
        <v>46055</v>
      </c>
      <c r="B26" s="9">
        <v>6.3250000000000002</v>
      </c>
      <c r="C26" s="38">
        <f>IFERROR(INDEX(Ex2_UST_ACM!$B$5:$B$194,MATCH(A26,Ex2_UST_ACM!$A$5:$A$194,0)),"")</f>
        <v>4.2774000000000001</v>
      </c>
      <c r="D26" s="19">
        <f t="shared" si="0"/>
        <v>204.76000000000002</v>
      </c>
      <c r="F26" s="12">
        <v>46295</v>
      </c>
      <c r="G26" s="40">
        <v>3.28</v>
      </c>
    </row>
    <row r="27" spans="1:7" x14ac:dyDescent="0.2">
      <c r="A27" s="12">
        <v>46056</v>
      </c>
      <c r="B27" s="9">
        <v>6.33</v>
      </c>
      <c r="C27" s="38">
        <f>IFERROR(INDEX(Ex2_UST_ACM!$B$5:$B$194,MATCH(A27,Ex2_UST_ACM!$A$5:$A$194,0)),"")</f>
        <v>4.2655000000000003</v>
      </c>
      <c r="D27" s="19">
        <f t="shared" si="0"/>
        <v>206.45</v>
      </c>
      <c r="F27" s="24" t="s">
        <v>220</v>
      </c>
      <c r="G27" s="15">
        <f>G10-G26</f>
        <v>3.8860000000000006</v>
      </c>
    </row>
    <row r="28" spans="1:7" x14ac:dyDescent="0.2">
      <c r="A28" s="12">
        <v>46057</v>
      </c>
      <c r="B28" s="9">
        <v>6.31</v>
      </c>
      <c r="C28" s="38">
        <f>IFERROR(INDEX(Ex2_UST_ACM!$B$5:$B$194,MATCH(A28,Ex2_UST_ACM!$A$5:$A$194,0)),"")</f>
        <v>4.2735000000000003</v>
      </c>
      <c r="D28" s="19">
        <f t="shared" si="0"/>
        <v>203.64999999999992</v>
      </c>
    </row>
    <row r="29" spans="1:7" x14ac:dyDescent="0.2">
      <c r="A29" s="12">
        <v>46058</v>
      </c>
      <c r="B29" s="9">
        <v>6.3259999999999996</v>
      </c>
      <c r="C29" s="38">
        <f>IFERROR(INDEX(Ex2_UST_ACM!$B$5:$B$194,MATCH(A29,Ex2_UST_ACM!$A$5:$A$194,0)),"")</f>
        <v>4.1801000000000004</v>
      </c>
      <c r="D29" s="19">
        <f t="shared" si="0"/>
        <v>214.58999999999992</v>
      </c>
    </row>
    <row r="30" spans="1:7" x14ac:dyDescent="0.2">
      <c r="A30" s="12">
        <v>46059</v>
      </c>
      <c r="B30" s="9">
        <v>6.4390000000000001</v>
      </c>
      <c r="C30" s="38">
        <f>IFERROR(INDEX(Ex2_UST_ACM!$B$5:$B$194,MATCH(A30,Ex2_UST_ACM!$A$5:$A$194,0)),"")</f>
        <v>4.2060000000000004</v>
      </c>
      <c r="D30" s="19">
        <f t="shared" si="0"/>
        <v>223.29999999999995</v>
      </c>
    </row>
    <row r="31" spans="1:7" x14ac:dyDescent="0.2">
      <c r="A31" s="12">
        <v>46062</v>
      </c>
      <c r="B31" s="9">
        <v>6.47</v>
      </c>
      <c r="C31" s="38">
        <f>IFERROR(INDEX(Ex2_UST_ACM!$B$5:$B$194,MATCH(A31,Ex2_UST_ACM!$A$5:$A$194,0)),"")</f>
        <v>4.2020999999999997</v>
      </c>
      <c r="D31" s="19">
        <f t="shared" si="0"/>
        <v>226.79</v>
      </c>
    </row>
    <row r="32" spans="1:7" x14ac:dyDescent="0.2">
      <c r="A32" s="12">
        <v>46063</v>
      </c>
      <c r="B32" s="9">
        <v>6.45</v>
      </c>
      <c r="C32" s="38">
        <f>IFERROR(INDEX(Ex2_UST_ACM!$B$5:$B$194,MATCH(A32,Ex2_UST_ACM!$A$5:$A$194,0)),"")</f>
        <v>4.1426999999999996</v>
      </c>
      <c r="D32" s="19">
        <f t="shared" si="0"/>
        <v>230.73000000000005</v>
      </c>
    </row>
    <row r="33" spans="1:4" x14ac:dyDescent="0.2">
      <c r="A33" s="12">
        <v>46064</v>
      </c>
      <c r="B33" s="9">
        <v>6.4329999999999998</v>
      </c>
      <c r="C33" s="38">
        <f>IFERROR(INDEX(Ex2_UST_ACM!$B$5:$B$194,MATCH(A33,Ex2_UST_ACM!$A$5:$A$194,0)),"")</f>
        <v>4.1723999999999997</v>
      </c>
      <c r="D33" s="19">
        <f t="shared" si="0"/>
        <v>226.06</v>
      </c>
    </row>
    <row r="34" spans="1:4" x14ac:dyDescent="0.2">
      <c r="A34" s="12">
        <v>46065</v>
      </c>
      <c r="B34" s="9">
        <v>6.4210000000000003</v>
      </c>
      <c r="C34" s="38">
        <f>IFERROR(INDEX(Ex2_UST_ACM!$B$5:$B$194,MATCH(A34,Ex2_UST_ACM!$A$5:$A$194,0)),"")</f>
        <v>4.0980999999999996</v>
      </c>
      <c r="D34" s="19">
        <f t="shared" si="0"/>
        <v>232.29000000000008</v>
      </c>
    </row>
    <row r="35" spans="1:4" x14ac:dyDescent="0.2">
      <c r="A35" s="12">
        <v>46066</v>
      </c>
      <c r="B35" s="9">
        <v>6.4020000000000001</v>
      </c>
      <c r="C35" s="38">
        <f>IFERROR(INDEX(Ex2_UST_ACM!$B$5:$B$194,MATCH(A35,Ex2_UST_ACM!$A$5:$A$194,0)),"")</f>
        <v>4.0483000000000002</v>
      </c>
      <c r="D35" s="19">
        <f t="shared" si="0"/>
        <v>235.37</v>
      </c>
    </row>
    <row r="36" spans="1:4" x14ac:dyDescent="0.2">
      <c r="A36" s="12">
        <v>46072</v>
      </c>
      <c r="B36" s="9">
        <v>6.4569999999999999</v>
      </c>
      <c r="C36" s="38">
        <f>IFERROR(INDEX(Ex2_UST_ACM!$B$5:$B$194,MATCH(A36,Ex2_UST_ACM!$A$5:$A$194,0)),"")</f>
        <v>4.0673000000000004</v>
      </c>
      <c r="D36" s="19">
        <f t="shared" si="0"/>
        <v>238.96999999999994</v>
      </c>
    </row>
    <row r="37" spans="1:4" x14ac:dyDescent="0.2">
      <c r="A37" s="12">
        <v>46073</v>
      </c>
      <c r="B37" s="9">
        <v>6.4640000000000004</v>
      </c>
      <c r="C37" s="38">
        <f>IFERROR(INDEX(Ex2_UST_ACM!$B$5:$B$194,MATCH(A37,Ex2_UST_ACM!$A$5:$A$194,0)),"")</f>
        <v>4.0826000000000002</v>
      </c>
      <c r="D37" s="19">
        <f t="shared" ref="D37:D68" si="1">IF(C37="","",(B37-C37)*100)</f>
        <v>238.14000000000001</v>
      </c>
    </row>
    <row r="38" spans="1:4" x14ac:dyDescent="0.2">
      <c r="A38" s="12">
        <v>46076</v>
      </c>
      <c r="B38" s="9">
        <v>6.4530000000000003</v>
      </c>
      <c r="C38" s="38">
        <f>IFERROR(INDEX(Ex2_UST_ACM!$B$5:$B$194,MATCH(A38,Ex2_UST_ACM!$A$5:$A$194,0)),"")</f>
        <v>4.0308999999999999</v>
      </c>
      <c r="D38" s="19">
        <f t="shared" si="1"/>
        <v>242.21000000000004</v>
      </c>
    </row>
    <row r="39" spans="1:4" x14ac:dyDescent="0.2">
      <c r="A39" s="12">
        <v>46077</v>
      </c>
      <c r="B39" s="9">
        <v>6.4489999999999998</v>
      </c>
      <c r="C39" s="38">
        <f>IFERROR(INDEX(Ex2_UST_ACM!$B$5:$B$194,MATCH(A39,Ex2_UST_ACM!$A$5:$A$194,0)),"")</f>
        <v>4.0289999999999999</v>
      </c>
      <c r="D39" s="19">
        <f t="shared" si="1"/>
        <v>242</v>
      </c>
    </row>
    <row r="40" spans="1:4" x14ac:dyDescent="0.2">
      <c r="A40" s="12">
        <v>46078</v>
      </c>
      <c r="B40" s="9">
        <v>6.431</v>
      </c>
      <c r="C40" s="38">
        <f>IFERROR(INDEX(Ex2_UST_ACM!$B$5:$B$194,MATCH(A40,Ex2_UST_ACM!$A$5:$A$194,0)),"")</f>
        <v>4.0518999999999998</v>
      </c>
      <c r="D40" s="19">
        <f t="shared" si="1"/>
        <v>237.91000000000003</v>
      </c>
    </row>
    <row r="41" spans="1:4" x14ac:dyDescent="0.2">
      <c r="A41" s="12">
        <v>46079</v>
      </c>
      <c r="B41" s="9">
        <v>6.42</v>
      </c>
      <c r="C41" s="38">
        <f>IFERROR(INDEX(Ex2_UST_ACM!$B$5:$B$194,MATCH(A41,Ex2_UST_ACM!$A$5:$A$194,0)),"")</f>
        <v>4.0041000000000002</v>
      </c>
      <c r="D41" s="19">
        <f t="shared" si="1"/>
        <v>241.58999999999997</v>
      </c>
    </row>
    <row r="42" spans="1:4" x14ac:dyDescent="0.2">
      <c r="A42" s="12">
        <v>46080</v>
      </c>
      <c r="B42" s="9">
        <v>6.4269999999999996</v>
      </c>
      <c r="C42" s="38">
        <f>IFERROR(INDEX(Ex2_UST_ACM!$B$5:$B$194,MATCH(A42,Ex2_UST_ACM!$A$5:$A$194,0)),"")</f>
        <v>3.9375</v>
      </c>
      <c r="D42" s="19">
        <f t="shared" si="1"/>
        <v>248.94999999999996</v>
      </c>
    </row>
    <row r="43" spans="1:4" x14ac:dyDescent="0.2">
      <c r="A43" s="12">
        <v>46083</v>
      </c>
      <c r="B43" s="9">
        <v>6.4619999999999997</v>
      </c>
      <c r="C43" s="38">
        <f>IFERROR(INDEX(Ex2_UST_ACM!$B$5:$B$194,MATCH(A43,Ex2_UST_ACM!$A$5:$A$194,0)),"")</f>
        <v>4.0345000000000004</v>
      </c>
      <c r="D43" s="19">
        <f t="shared" si="1"/>
        <v>242.74999999999994</v>
      </c>
    </row>
    <row r="44" spans="1:4" x14ac:dyDescent="0.2">
      <c r="A44" s="12">
        <v>46084</v>
      </c>
      <c r="B44" s="9">
        <v>6.5380000000000003</v>
      </c>
      <c r="C44" s="38">
        <f>IFERROR(INDEX(Ex2_UST_ACM!$B$5:$B$194,MATCH(A44,Ex2_UST_ACM!$A$5:$A$194,0)),"")</f>
        <v>4.0594000000000001</v>
      </c>
      <c r="D44" s="19">
        <f t="shared" si="1"/>
        <v>247.86</v>
      </c>
    </row>
    <row r="45" spans="1:4" x14ac:dyDescent="0.2">
      <c r="A45" s="12">
        <v>46085</v>
      </c>
      <c r="B45" s="9">
        <v>6.6139999999999999</v>
      </c>
      <c r="C45" s="38">
        <f>IFERROR(INDEX(Ex2_UST_ACM!$B$5:$B$194,MATCH(A45,Ex2_UST_ACM!$A$5:$A$194,0)),"")</f>
        <v>4.0959000000000003</v>
      </c>
      <c r="D45" s="19">
        <f t="shared" si="1"/>
        <v>251.80999999999995</v>
      </c>
    </row>
    <row r="46" spans="1:4" x14ac:dyDescent="0.2">
      <c r="A46" s="12">
        <v>46086</v>
      </c>
      <c r="B46" s="9">
        <v>6.5960000000000001</v>
      </c>
      <c r="C46" s="38">
        <f>IFERROR(INDEX(Ex2_UST_ACM!$B$5:$B$194,MATCH(A46,Ex2_UST_ACM!$A$5:$A$194,0)),"")</f>
        <v>4.1363000000000003</v>
      </c>
      <c r="D46" s="19">
        <f t="shared" si="1"/>
        <v>245.96999999999997</v>
      </c>
    </row>
    <row r="47" spans="1:4" x14ac:dyDescent="0.2">
      <c r="A47" s="12">
        <v>46087</v>
      </c>
      <c r="B47" s="9">
        <v>6.609</v>
      </c>
      <c r="C47" s="38">
        <f>IFERROR(INDEX(Ex2_UST_ACM!$B$5:$B$194,MATCH(A47,Ex2_UST_ACM!$A$5:$A$194,0)),"")</f>
        <v>4.1383000000000001</v>
      </c>
      <c r="D47" s="19">
        <f t="shared" si="1"/>
        <v>247.07</v>
      </c>
    </row>
    <row r="48" spans="1:4" x14ac:dyDescent="0.2">
      <c r="A48" s="12">
        <v>46090</v>
      </c>
      <c r="B48" s="9">
        <v>6.7560000000000002</v>
      </c>
      <c r="C48" s="38">
        <f>IFERROR(INDEX(Ex2_UST_ACM!$B$5:$B$194,MATCH(A48,Ex2_UST_ACM!$A$5:$A$194,0)),"")</f>
        <v>4.0957999999999997</v>
      </c>
      <c r="D48" s="19">
        <f t="shared" si="1"/>
        <v>266.02000000000004</v>
      </c>
    </row>
    <row r="49" spans="1:4" x14ac:dyDescent="0.2">
      <c r="A49" s="12">
        <v>46091</v>
      </c>
      <c r="B49" s="9">
        <v>6.7060000000000004</v>
      </c>
      <c r="C49" s="38">
        <f>IFERROR(INDEX(Ex2_UST_ACM!$B$5:$B$194,MATCH(A49,Ex2_UST_ACM!$A$5:$A$194,0)),"")</f>
        <v>4.1557000000000004</v>
      </c>
      <c r="D49" s="19">
        <f t="shared" si="1"/>
        <v>255.03</v>
      </c>
    </row>
    <row r="50" spans="1:4" x14ac:dyDescent="0.2">
      <c r="A50" s="12">
        <v>46092</v>
      </c>
      <c r="B50" s="9">
        <v>6.7089999999999996</v>
      </c>
      <c r="C50" s="38">
        <f>IFERROR(INDEX(Ex2_UST_ACM!$B$5:$B$194,MATCH(A50,Ex2_UST_ACM!$A$5:$A$194,0)),"")</f>
        <v>4.2295999999999996</v>
      </c>
      <c r="D50" s="19">
        <f t="shared" si="1"/>
        <v>247.94</v>
      </c>
    </row>
    <row r="51" spans="1:4" x14ac:dyDescent="0.2">
      <c r="A51" s="12">
        <v>46093</v>
      </c>
      <c r="B51" s="9">
        <v>6.7229999999999999</v>
      </c>
      <c r="C51" s="38">
        <f>IFERROR(INDEX(Ex2_UST_ACM!$B$5:$B$194,MATCH(A51,Ex2_UST_ACM!$A$5:$A$194,0)),"")</f>
        <v>4.2609000000000004</v>
      </c>
      <c r="D51" s="19">
        <f t="shared" si="1"/>
        <v>246.20999999999995</v>
      </c>
    </row>
    <row r="52" spans="1:4" x14ac:dyDescent="0.2">
      <c r="A52" s="12">
        <v>46094</v>
      </c>
      <c r="B52" s="9">
        <v>6.7969999999999997</v>
      </c>
      <c r="C52" s="38">
        <f>IFERROR(INDEX(Ex2_UST_ACM!$B$5:$B$194,MATCH(A52,Ex2_UST_ACM!$A$5:$A$194,0)),"")</f>
        <v>4.2766999999999999</v>
      </c>
      <c r="D52" s="19">
        <f t="shared" si="1"/>
        <v>252.02999999999997</v>
      </c>
    </row>
    <row r="53" spans="1:4" x14ac:dyDescent="0.2">
      <c r="A53" s="12">
        <v>46097</v>
      </c>
      <c r="B53" s="9">
        <v>6.9130000000000003</v>
      </c>
      <c r="C53" s="38">
        <f>IFERROR(INDEX(Ex2_UST_ACM!$B$5:$B$194,MATCH(A53,Ex2_UST_ACM!$A$5:$A$194,0)),"")</f>
        <v>4.2160000000000002</v>
      </c>
      <c r="D53" s="19">
        <f t="shared" si="1"/>
        <v>269.7</v>
      </c>
    </row>
    <row r="54" spans="1:4" x14ac:dyDescent="0.2">
      <c r="A54" s="12">
        <v>46098</v>
      </c>
      <c r="B54" s="9">
        <v>6.8940000000000001</v>
      </c>
      <c r="C54" s="38">
        <f>IFERROR(INDEX(Ex2_UST_ACM!$B$5:$B$194,MATCH(A54,Ex2_UST_ACM!$A$5:$A$194,0)),"")</f>
        <v>4.1985000000000001</v>
      </c>
      <c r="D54" s="19">
        <f t="shared" si="1"/>
        <v>269.55</v>
      </c>
    </row>
    <row r="55" spans="1:4" x14ac:dyDescent="0.2">
      <c r="A55" s="12">
        <v>46106</v>
      </c>
      <c r="B55" s="9">
        <v>6.9329999999999998</v>
      </c>
      <c r="C55" s="38">
        <f>IFERROR(INDEX(Ex2_UST_ACM!$B$5:$B$194,MATCH(A55,Ex2_UST_ACM!$A$5:$A$194,0)),"")</f>
        <v>4.3322000000000003</v>
      </c>
      <c r="D55" s="19">
        <f t="shared" si="1"/>
        <v>260.07999999999993</v>
      </c>
    </row>
    <row r="56" spans="1:4" x14ac:dyDescent="0.2">
      <c r="A56" s="12">
        <v>46107</v>
      </c>
      <c r="B56" s="9">
        <v>6.8579999999999997</v>
      </c>
      <c r="C56" s="38">
        <f>IFERROR(INDEX(Ex2_UST_ACM!$B$5:$B$194,MATCH(A56,Ex2_UST_ACM!$A$5:$A$194,0)),"")</f>
        <v>4.4116999999999997</v>
      </c>
      <c r="D56" s="19">
        <f t="shared" si="1"/>
        <v>244.63</v>
      </c>
    </row>
    <row r="57" spans="1:4" x14ac:dyDescent="0.2">
      <c r="A57" s="12">
        <v>46108</v>
      </c>
      <c r="B57" s="9">
        <v>6.8579999999999997</v>
      </c>
      <c r="C57" s="38">
        <f>IFERROR(INDEX(Ex2_UST_ACM!$B$5:$B$194,MATCH(A57,Ex2_UST_ACM!$A$5:$A$194,0)),"")</f>
        <v>4.4278000000000004</v>
      </c>
      <c r="D57" s="19">
        <f t="shared" si="1"/>
        <v>243.01999999999992</v>
      </c>
    </row>
    <row r="58" spans="1:4" x14ac:dyDescent="0.2">
      <c r="A58" s="12">
        <v>46111</v>
      </c>
      <c r="B58" s="9">
        <v>6.8540000000000001</v>
      </c>
      <c r="C58" s="38">
        <f>IFERROR(INDEX(Ex2_UST_ACM!$B$5:$B$194,MATCH(A58,Ex2_UST_ACM!$A$5:$A$194,0)),"")</f>
        <v>4.3482000000000003</v>
      </c>
      <c r="D58" s="19">
        <f t="shared" si="1"/>
        <v>250.57999999999998</v>
      </c>
    </row>
    <row r="59" spans="1:4" x14ac:dyDescent="0.2">
      <c r="A59" s="12">
        <v>46112</v>
      </c>
      <c r="B59" s="9">
        <v>6.8550000000000004</v>
      </c>
      <c r="C59" s="38">
        <f>IFERROR(INDEX(Ex2_UST_ACM!$B$5:$B$194,MATCH(A59,Ex2_UST_ACM!$A$5:$A$194,0)),"")</f>
        <v>4.3166000000000002</v>
      </c>
      <c r="D59" s="19">
        <f t="shared" si="1"/>
        <v>253.84000000000003</v>
      </c>
    </row>
    <row r="60" spans="1:4" x14ac:dyDescent="0.2">
      <c r="A60" s="12">
        <v>46113</v>
      </c>
      <c r="B60" s="9">
        <v>6.6849999999999996</v>
      </c>
      <c r="C60" s="38">
        <f>IFERROR(INDEX(Ex2_UST_ACM!$B$5:$B$194,MATCH(A60,Ex2_UST_ACM!$A$5:$A$194,0)),"")</f>
        <v>4.3186</v>
      </c>
      <c r="D60" s="19">
        <f t="shared" si="1"/>
        <v>236.63999999999996</v>
      </c>
    </row>
    <row r="61" spans="1:4" x14ac:dyDescent="0.2">
      <c r="A61" s="12">
        <v>46114</v>
      </c>
      <c r="B61" s="9">
        <v>6.6479999999999997</v>
      </c>
      <c r="C61" s="38">
        <f>IFERROR(INDEX(Ex2_UST_ACM!$B$5:$B$194,MATCH(A61,Ex2_UST_ACM!$A$5:$A$194,0)),"")</f>
        <v>4.3048999999999999</v>
      </c>
      <c r="D61" s="19">
        <f t="shared" si="1"/>
        <v>234.30999999999997</v>
      </c>
    </row>
    <row r="62" spans="1:4" x14ac:dyDescent="0.2">
      <c r="A62" s="12">
        <v>46118</v>
      </c>
      <c r="B62" s="9">
        <v>6.6520000000000001</v>
      </c>
      <c r="C62" s="38">
        <f>IFERROR(INDEX(Ex2_UST_ACM!$B$5:$B$194,MATCH(A62,Ex2_UST_ACM!$A$5:$A$194,0)),"")</f>
        <v>4.3307000000000002</v>
      </c>
      <c r="D62" s="19">
        <f t="shared" si="1"/>
        <v>232.13</v>
      </c>
    </row>
    <row r="63" spans="1:4" x14ac:dyDescent="0.2">
      <c r="A63" s="12">
        <v>46119</v>
      </c>
      <c r="B63" s="9">
        <v>6.6879999999999997</v>
      </c>
      <c r="C63" s="38">
        <f>IFERROR(INDEX(Ex2_UST_ACM!$B$5:$B$194,MATCH(A63,Ex2_UST_ACM!$A$5:$A$194,0)),"")</f>
        <v>4.2930999999999999</v>
      </c>
      <c r="D63" s="19">
        <f t="shared" si="1"/>
        <v>239.48999999999998</v>
      </c>
    </row>
    <row r="64" spans="1:4" x14ac:dyDescent="0.2">
      <c r="A64" s="12">
        <v>46120</v>
      </c>
      <c r="B64" s="9">
        <v>6.6040000000000001</v>
      </c>
      <c r="C64" s="38">
        <f>IFERROR(INDEX(Ex2_UST_ACM!$B$5:$B$194,MATCH(A64,Ex2_UST_ACM!$A$5:$A$194,0)),"")</f>
        <v>4.2911000000000001</v>
      </c>
      <c r="D64" s="19">
        <f t="shared" si="1"/>
        <v>231.29</v>
      </c>
    </row>
    <row r="65" spans="1:4" x14ac:dyDescent="0.2">
      <c r="A65" s="12">
        <v>46121</v>
      </c>
      <c r="B65" s="9">
        <v>6.6180000000000003</v>
      </c>
      <c r="C65" s="38">
        <f>IFERROR(INDEX(Ex2_UST_ACM!$B$5:$B$194,MATCH(A65,Ex2_UST_ACM!$A$5:$A$194,0)),"")</f>
        <v>4.2754000000000003</v>
      </c>
      <c r="D65" s="19">
        <f t="shared" si="1"/>
        <v>234.26</v>
      </c>
    </row>
    <row r="66" spans="1:4" x14ac:dyDescent="0.2">
      <c r="A66" s="12">
        <v>46122</v>
      </c>
      <c r="B66" s="9">
        <v>6.569</v>
      </c>
      <c r="C66" s="38">
        <f>IFERROR(INDEX(Ex2_UST_ACM!$B$5:$B$194,MATCH(A66,Ex2_UST_ACM!$A$5:$A$194,0)),"")</f>
        <v>4.3170000000000002</v>
      </c>
      <c r="D66" s="19">
        <f t="shared" si="1"/>
        <v>225.2</v>
      </c>
    </row>
    <row r="67" spans="1:4" x14ac:dyDescent="0.2">
      <c r="A67" s="12">
        <v>46125</v>
      </c>
      <c r="B67" s="9">
        <v>6.5949999999999998</v>
      </c>
      <c r="C67" s="38">
        <f>IFERROR(INDEX(Ex2_UST_ACM!$B$5:$B$194,MATCH(A67,Ex2_UST_ACM!$A$5:$A$194,0)),"")</f>
        <v>4.2933000000000003</v>
      </c>
      <c r="D67" s="19">
        <f t="shared" si="1"/>
        <v>230.16999999999993</v>
      </c>
    </row>
    <row r="68" spans="1:4" x14ac:dyDescent="0.2">
      <c r="A68" s="12">
        <v>46126</v>
      </c>
      <c r="B68" s="9">
        <v>6.6059999999999999</v>
      </c>
      <c r="C68" s="38">
        <f>IFERROR(INDEX(Ex2_UST_ACM!$B$5:$B$194,MATCH(A68,Ex2_UST_ACM!$A$5:$A$194,0)),"")</f>
        <v>4.2478999999999996</v>
      </c>
      <c r="D68" s="19">
        <f t="shared" si="1"/>
        <v>235.81000000000003</v>
      </c>
    </row>
    <row r="69" spans="1:4" x14ac:dyDescent="0.2">
      <c r="A69" s="12">
        <v>46127</v>
      </c>
      <c r="B69" s="9">
        <v>6.5890000000000004</v>
      </c>
      <c r="C69" s="38">
        <f>IFERROR(INDEX(Ex2_UST_ACM!$B$5:$B$194,MATCH(A69,Ex2_UST_ACM!$A$5:$A$194,0)),"")</f>
        <v>4.2834000000000003</v>
      </c>
      <c r="D69" s="19">
        <f t="shared" ref="D69:D100" si="2">IF(C69="","",(B69-C69)*100)</f>
        <v>230.56</v>
      </c>
    </row>
    <row r="70" spans="1:4" x14ac:dyDescent="0.2">
      <c r="A70" s="12">
        <v>46128</v>
      </c>
      <c r="B70" s="9">
        <v>6.5810000000000004</v>
      </c>
      <c r="C70" s="38">
        <f>IFERROR(INDEX(Ex2_UST_ACM!$B$5:$B$194,MATCH(A70,Ex2_UST_ACM!$A$5:$A$194,0)),"")</f>
        <v>4.3112000000000004</v>
      </c>
      <c r="D70" s="19">
        <f t="shared" si="2"/>
        <v>226.98000000000002</v>
      </c>
    </row>
    <row r="71" spans="1:4" x14ac:dyDescent="0.2">
      <c r="A71" s="12">
        <v>46129</v>
      </c>
      <c r="B71" s="9">
        <v>6.5830000000000002</v>
      </c>
      <c r="C71" s="38">
        <f>IFERROR(INDEX(Ex2_UST_ACM!$B$5:$B$194,MATCH(A71,Ex2_UST_ACM!$A$5:$A$194,0)),"")</f>
        <v>4.2480000000000002</v>
      </c>
      <c r="D71" s="19">
        <f t="shared" si="2"/>
        <v>233.5</v>
      </c>
    </row>
    <row r="72" spans="1:4" x14ac:dyDescent="0.2">
      <c r="A72" s="12">
        <v>46132</v>
      </c>
      <c r="B72" s="9">
        <v>6.5960000000000001</v>
      </c>
      <c r="C72" s="38">
        <f>IFERROR(INDEX(Ex2_UST_ACM!$B$5:$B$194,MATCH(A72,Ex2_UST_ACM!$A$5:$A$194,0)),"")</f>
        <v>4.2510000000000003</v>
      </c>
      <c r="D72" s="19">
        <f t="shared" si="2"/>
        <v>234.49999999999997</v>
      </c>
    </row>
    <row r="73" spans="1:4" x14ac:dyDescent="0.2">
      <c r="A73" s="12">
        <v>46133</v>
      </c>
      <c r="B73" s="9">
        <v>6.5949999999999998</v>
      </c>
      <c r="C73" s="38">
        <f>IFERROR(INDEX(Ex2_UST_ACM!$B$5:$B$194,MATCH(A73,Ex2_UST_ACM!$A$5:$A$194,0)),"")</f>
        <v>4.2915999999999999</v>
      </c>
      <c r="D73" s="19">
        <f t="shared" si="2"/>
        <v>230.33999999999997</v>
      </c>
    </row>
    <row r="74" spans="1:4" x14ac:dyDescent="0.2">
      <c r="A74" s="12">
        <v>46134</v>
      </c>
      <c r="B74" s="9">
        <v>6.6130000000000004</v>
      </c>
      <c r="C74" s="38">
        <f>IFERROR(INDEX(Ex2_UST_ACM!$B$5:$B$194,MATCH(A74,Ex2_UST_ACM!$A$5:$A$194,0)),"")</f>
        <v>4.3025000000000002</v>
      </c>
      <c r="D74" s="19">
        <f t="shared" si="2"/>
        <v>231.05</v>
      </c>
    </row>
    <row r="75" spans="1:4" x14ac:dyDescent="0.2">
      <c r="A75" s="12">
        <v>46135</v>
      </c>
      <c r="B75" s="9">
        <v>6.7030000000000003</v>
      </c>
      <c r="C75" s="38">
        <f>IFERROR(INDEX(Ex2_UST_ACM!$B$5:$B$194,MATCH(A75,Ex2_UST_ACM!$A$5:$A$194,0)),"")</f>
        <v>4.3243999999999998</v>
      </c>
      <c r="D75" s="19">
        <f t="shared" si="2"/>
        <v>237.86000000000004</v>
      </c>
    </row>
    <row r="76" spans="1:4" x14ac:dyDescent="0.2">
      <c r="A76" s="12">
        <v>46136</v>
      </c>
      <c r="B76" s="9">
        <v>6.7809999999999997</v>
      </c>
      <c r="C76" s="38">
        <f>IFERROR(INDEX(Ex2_UST_ACM!$B$5:$B$194,MATCH(A76,Ex2_UST_ACM!$A$5:$A$194,0)),"")</f>
        <v>4.3007</v>
      </c>
      <c r="D76" s="19">
        <f t="shared" si="2"/>
        <v>248.02999999999997</v>
      </c>
    </row>
    <row r="77" spans="1:4" x14ac:dyDescent="0.2">
      <c r="A77" s="12">
        <v>46139</v>
      </c>
      <c r="B77" s="9">
        <v>6.798</v>
      </c>
      <c r="C77" s="38">
        <f>IFERROR(INDEX(Ex2_UST_ACM!$B$5:$B$194,MATCH(A77,Ex2_UST_ACM!$A$5:$A$194,0)),"")</f>
        <v>4.3395000000000001</v>
      </c>
      <c r="D77" s="19">
        <f t="shared" si="2"/>
        <v>245.85</v>
      </c>
    </row>
    <row r="78" spans="1:4" x14ac:dyDescent="0.2">
      <c r="A78" s="12">
        <v>46140</v>
      </c>
      <c r="B78" s="9">
        <v>6.7939999999999996</v>
      </c>
      <c r="C78" s="38">
        <f>IFERROR(INDEX(Ex2_UST_ACM!$B$5:$B$194,MATCH(A78,Ex2_UST_ACM!$A$5:$A$194,0)),"")</f>
        <v>4.3455000000000004</v>
      </c>
      <c r="D78" s="19">
        <f t="shared" si="2"/>
        <v>244.84999999999991</v>
      </c>
    </row>
    <row r="79" spans="1:4" x14ac:dyDescent="0.2">
      <c r="A79" s="12">
        <v>46141</v>
      </c>
      <c r="B79" s="9">
        <v>6.8970000000000002</v>
      </c>
      <c r="C79" s="38">
        <f>IFERROR(INDEX(Ex2_UST_ACM!$B$5:$B$194,MATCH(A79,Ex2_UST_ACM!$A$5:$A$194,0)),"")</f>
        <v>4.4298000000000002</v>
      </c>
      <c r="D79" s="19">
        <f t="shared" si="2"/>
        <v>246.72</v>
      </c>
    </row>
    <row r="80" spans="1:4" x14ac:dyDescent="0.2">
      <c r="A80" s="12">
        <v>46142</v>
      </c>
      <c r="B80" s="9">
        <v>6.8529999999999998</v>
      </c>
      <c r="C80" s="38">
        <f>IFERROR(INDEX(Ex2_UST_ACM!$B$5:$B$194,MATCH(A80,Ex2_UST_ACM!$A$5:$A$194,0)),"")</f>
        <v>4.3705999999999996</v>
      </c>
      <c r="D80" s="19">
        <f t="shared" si="2"/>
        <v>248.24</v>
      </c>
    </row>
    <row r="81" spans="1:4" x14ac:dyDescent="0.2">
      <c r="A81" s="12">
        <v>46146</v>
      </c>
      <c r="B81" s="9">
        <v>6.8</v>
      </c>
      <c r="C81" s="38">
        <f>IFERROR(INDEX(Ex2_UST_ACM!$B$5:$B$194,MATCH(A81,Ex2_UST_ACM!$A$5:$A$194,0)),"")</f>
        <v>4.4382000000000001</v>
      </c>
      <c r="D81" s="19">
        <f t="shared" si="2"/>
        <v>236.17999999999998</v>
      </c>
    </row>
    <row r="82" spans="1:4" x14ac:dyDescent="0.2">
      <c r="A82" s="12">
        <v>46147</v>
      </c>
      <c r="B82" s="9">
        <v>6.8170000000000002</v>
      </c>
      <c r="C82" s="38">
        <f>IFERROR(INDEX(Ex2_UST_ACM!$B$5:$B$194,MATCH(A82,Ex2_UST_ACM!$A$5:$A$194,0)),"")</f>
        <v>4.4241000000000001</v>
      </c>
      <c r="D82" s="19">
        <f t="shared" si="2"/>
        <v>239.29</v>
      </c>
    </row>
    <row r="83" spans="1:4" x14ac:dyDescent="0.2">
      <c r="A83" s="12">
        <v>46148</v>
      </c>
      <c r="B83" s="9">
        <v>6.7350000000000003</v>
      </c>
      <c r="C83" s="38">
        <f>IFERROR(INDEX(Ex2_UST_ACM!$B$5:$B$194,MATCH(A83,Ex2_UST_ACM!$A$5:$A$194,0)),"")</f>
        <v>4.3489000000000004</v>
      </c>
      <c r="D83" s="19">
        <f t="shared" si="2"/>
        <v>238.60999999999999</v>
      </c>
    </row>
    <row r="84" spans="1:4" x14ac:dyDescent="0.2">
      <c r="A84" s="12">
        <v>46149</v>
      </c>
      <c r="B84" s="9">
        <v>6.6050000000000004</v>
      </c>
      <c r="C84" s="38">
        <f>IFERROR(INDEX(Ex2_UST_ACM!$B$5:$B$194,MATCH(A84,Ex2_UST_ACM!$A$5:$A$194,0)),"")</f>
        <v>4.3860999999999999</v>
      </c>
      <c r="D84" s="19">
        <f t="shared" si="2"/>
        <v>221.89000000000004</v>
      </c>
    </row>
    <row r="85" spans="1:4" x14ac:dyDescent="0.2">
      <c r="A85" s="12">
        <v>46150</v>
      </c>
      <c r="B85" s="9">
        <v>6.6029999999999998</v>
      </c>
      <c r="C85" s="38">
        <f>IFERROR(INDEX(Ex2_UST_ACM!$B$5:$B$194,MATCH(A85,Ex2_UST_ACM!$A$5:$A$194,0)),"")</f>
        <v>4.3540999999999999</v>
      </c>
      <c r="D85" s="19">
        <f t="shared" si="2"/>
        <v>224.89</v>
      </c>
    </row>
    <row r="86" spans="1:4" x14ac:dyDescent="0.2">
      <c r="A86" s="12">
        <v>46153</v>
      </c>
      <c r="B86" s="9">
        <v>6.6159999999999997</v>
      </c>
      <c r="C86" s="38">
        <f>IFERROR(INDEX(Ex2_UST_ACM!$B$5:$B$194,MATCH(A86,Ex2_UST_ACM!$A$5:$A$194,0)),"")</f>
        <v>4.4134000000000002</v>
      </c>
      <c r="D86" s="19">
        <f t="shared" si="2"/>
        <v>220.25999999999993</v>
      </c>
    </row>
    <row r="87" spans="1:4" x14ac:dyDescent="0.2">
      <c r="A87" s="12">
        <v>46154</v>
      </c>
      <c r="B87" s="9">
        <v>6.7110000000000003</v>
      </c>
      <c r="C87" s="38">
        <f>IFERROR(INDEX(Ex2_UST_ACM!$B$5:$B$194,MATCH(A87,Ex2_UST_ACM!$A$5:$A$194,0)),"")</f>
        <v>4.4630000000000001</v>
      </c>
      <c r="D87" s="19">
        <f t="shared" si="2"/>
        <v>224.8</v>
      </c>
    </row>
    <row r="88" spans="1:4" x14ac:dyDescent="0.2">
      <c r="A88" s="12">
        <v>46155</v>
      </c>
      <c r="B88" s="9">
        <v>6.6909999999999998</v>
      </c>
      <c r="C88" s="38">
        <f>IFERROR(INDEX(Ex2_UST_ACM!$B$5:$B$194,MATCH(A88,Ex2_UST_ACM!$A$5:$A$194,0)),"")</f>
        <v>4.4687999999999999</v>
      </c>
      <c r="D88" s="19">
        <f t="shared" si="2"/>
        <v>222.22</v>
      </c>
    </row>
    <row r="89" spans="1:4" x14ac:dyDescent="0.2">
      <c r="A89" s="12">
        <v>46160</v>
      </c>
      <c r="B89" s="9">
        <v>6.774</v>
      </c>
      <c r="C89" s="38">
        <f>IFERROR(INDEX(Ex2_UST_ACM!$B$5:$B$194,MATCH(A89,Ex2_UST_ACM!$A$5:$A$194,0)),"")</f>
        <v>4.5873999999999997</v>
      </c>
      <c r="D89" s="19">
        <f t="shared" si="2"/>
        <v>218.66000000000003</v>
      </c>
    </row>
    <row r="90" spans="1:4" x14ac:dyDescent="0.2">
      <c r="A90" s="12">
        <v>46161</v>
      </c>
      <c r="B90" s="9">
        <v>6.7779999999999996</v>
      </c>
      <c r="C90" s="38">
        <f>IFERROR(INDEX(Ex2_UST_ACM!$B$5:$B$194,MATCH(A90,Ex2_UST_ACM!$A$5:$A$194,0)),"")</f>
        <v>4.6662999999999997</v>
      </c>
      <c r="D90" s="19">
        <f t="shared" si="2"/>
        <v>211.17</v>
      </c>
    </row>
    <row r="91" spans="1:4" x14ac:dyDescent="0.2">
      <c r="A91" s="12">
        <v>46162</v>
      </c>
      <c r="B91" s="9">
        <v>6.8209999999999997</v>
      </c>
      <c r="C91" s="38">
        <f>IFERROR(INDEX(Ex2_UST_ACM!$B$5:$B$194,MATCH(A91,Ex2_UST_ACM!$A$5:$A$194,0)),"")</f>
        <v>4.5854999999999997</v>
      </c>
      <c r="D91" s="19">
        <f t="shared" si="2"/>
        <v>223.55</v>
      </c>
    </row>
    <row r="92" spans="1:4" x14ac:dyDescent="0.2">
      <c r="A92" s="12">
        <v>46163</v>
      </c>
      <c r="B92" s="9">
        <v>6.7759999999999998</v>
      </c>
      <c r="C92" s="38">
        <f>IFERROR(INDEX(Ex2_UST_ACM!$B$5:$B$194,MATCH(A92,Ex2_UST_ACM!$A$5:$A$194,0)),"")</f>
        <v>4.5696000000000003</v>
      </c>
      <c r="D92" s="19">
        <f t="shared" si="2"/>
        <v>220.63999999999996</v>
      </c>
    </row>
    <row r="93" spans="1:4" x14ac:dyDescent="0.2">
      <c r="A93" s="12">
        <v>46164</v>
      </c>
      <c r="B93" s="9">
        <v>6.7370000000000001</v>
      </c>
      <c r="C93" s="38">
        <f>IFERROR(INDEX(Ex2_UST_ACM!$B$5:$B$194,MATCH(A93,Ex2_UST_ACM!$A$5:$A$194,0)),"")</f>
        <v>4.5578000000000003</v>
      </c>
      <c r="D93" s="19">
        <f t="shared" si="2"/>
        <v>217.92</v>
      </c>
    </row>
    <row r="94" spans="1:4" x14ac:dyDescent="0.2">
      <c r="A94" s="12">
        <v>46167</v>
      </c>
      <c r="B94" s="9">
        <v>6.6820000000000004</v>
      </c>
      <c r="C94" s="38" t="str">
        <f>IFERROR(INDEX(Ex2_UST_ACM!$B$5:$B$194,MATCH(A94,Ex2_UST_ACM!$A$5:$A$194,0)),"")</f>
        <v/>
      </c>
      <c r="D94" s="19" t="str">
        <f t="shared" si="2"/>
        <v/>
      </c>
    </row>
    <row r="95" spans="1:4" x14ac:dyDescent="0.2">
      <c r="A95" s="12">
        <v>46168</v>
      </c>
      <c r="B95" s="9">
        <v>6.7089999999999996</v>
      </c>
      <c r="C95" s="38">
        <f>IFERROR(INDEX(Ex2_UST_ACM!$B$5:$B$194,MATCH(A95,Ex2_UST_ACM!$A$5:$A$194,0)),"")</f>
        <v>4.4846000000000004</v>
      </c>
      <c r="D95" s="19">
        <f t="shared" si="2"/>
        <v>222.43999999999994</v>
      </c>
    </row>
    <row r="96" spans="1:4" x14ac:dyDescent="0.2">
      <c r="A96" s="12">
        <v>46171</v>
      </c>
      <c r="B96" s="9">
        <v>6.72</v>
      </c>
      <c r="C96" s="38">
        <f>IFERROR(INDEX(Ex2_UST_ACM!$B$5:$B$194,MATCH(A96,Ex2_UST_ACM!$A$5:$A$194,0)),"")</f>
        <v>4.4355000000000002</v>
      </c>
      <c r="D96" s="19">
        <f t="shared" si="2"/>
        <v>228.44999999999996</v>
      </c>
    </row>
    <row r="97" spans="1:4" x14ac:dyDescent="0.2">
      <c r="A97" s="12">
        <v>46175</v>
      </c>
      <c r="B97" s="9">
        <v>6.7590000000000003</v>
      </c>
      <c r="C97" s="38">
        <f>IFERROR(INDEX(Ex2_UST_ACM!$B$5:$B$194,MATCH(A97,Ex2_UST_ACM!$A$5:$A$194,0)),"")</f>
        <v>4.4432999999999998</v>
      </c>
      <c r="D97" s="19">
        <f t="shared" si="2"/>
        <v>231.57000000000005</v>
      </c>
    </row>
    <row r="98" spans="1:4" x14ac:dyDescent="0.2">
      <c r="A98" s="12">
        <v>46176</v>
      </c>
      <c r="B98" s="9">
        <v>6.7009999999999996</v>
      </c>
      <c r="C98" s="38">
        <f>IFERROR(INDEX(Ex2_UST_ACM!$B$5:$B$194,MATCH(A98,Ex2_UST_ACM!$A$5:$A$194,0)),"")</f>
        <v>4.4946000000000002</v>
      </c>
      <c r="D98" s="19">
        <f t="shared" si="2"/>
        <v>220.63999999999996</v>
      </c>
    </row>
    <row r="99" spans="1:4" x14ac:dyDescent="0.2">
      <c r="A99" s="12">
        <v>46177</v>
      </c>
      <c r="B99" s="9">
        <v>6.8129999999999997</v>
      </c>
      <c r="C99" s="38">
        <f>IFERROR(INDEX(Ex2_UST_ACM!$B$5:$B$194,MATCH(A99,Ex2_UST_ACM!$A$5:$A$194,0)),"")</f>
        <v>4.4729000000000001</v>
      </c>
      <c r="D99" s="19">
        <f t="shared" si="2"/>
        <v>234.00999999999996</v>
      </c>
    </row>
    <row r="100" spans="1:4" x14ac:dyDescent="0.2">
      <c r="A100" s="12">
        <v>46178</v>
      </c>
      <c r="B100" s="9">
        <v>6.8760000000000003</v>
      </c>
      <c r="C100" s="38">
        <f>IFERROR(INDEX(Ex2_UST_ACM!$B$5:$B$194,MATCH(A100,Ex2_UST_ACM!$A$5:$A$194,0)),"")</f>
        <v>4.5303000000000004</v>
      </c>
      <c r="D100" s="19">
        <f t="shared" si="2"/>
        <v>234.57</v>
      </c>
    </row>
    <row r="101" spans="1:4" x14ac:dyDescent="0.2">
      <c r="A101" s="12">
        <v>46181</v>
      </c>
      <c r="B101" s="9">
        <v>7.2789999999999999</v>
      </c>
      <c r="C101" s="38">
        <f>IFERROR(INDEX(Ex2_UST_ACM!$B$5:$B$194,MATCH(A101,Ex2_UST_ACM!$A$5:$A$194,0)),"")</f>
        <v>4.5621999999999998</v>
      </c>
      <c r="D101" s="19">
        <f t="shared" ref="D101:D132" si="3">IF(C101="","",(B101-C101)*100)</f>
        <v>271.68</v>
      </c>
    </row>
    <row r="102" spans="1:4" x14ac:dyDescent="0.2">
      <c r="A102" s="12">
        <v>46182</v>
      </c>
      <c r="B102" s="9">
        <v>7.4139999999999997</v>
      </c>
      <c r="C102" s="38">
        <f>IFERROR(INDEX(Ex2_UST_ACM!$B$5:$B$194,MATCH(A102,Ex2_UST_ACM!$A$5:$A$194,0)),"")</f>
        <v>4.5164999999999997</v>
      </c>
      <c r="D102" s="19">
        <f t="shared" si="3"/>
        <v>289.75</v>
      </c>
    </row>
    <row r="103" spans="1:4" x14ac:dyDescent="0.2">
      <c r="A103" s="12">
        <v>46183</v>
      </c>
      <c r="B103" s="9">
        <v>7.343</v>
      </c>
      <c r="C103" s="38">
        <f>IFERROR(INDEX(Ex2_UST_ACM!$B$5:$B$194,MATCH(A103,Ex2_UST_ACM!$A$5:$A$194,0)),"")</f>
        <v>4.5522999999999998</v>
      </c>
      <c r="D103" s="19">
        <f t="shared" si="3"/>
        <v>279.07</v>
      </c>
    </row>
    <row r="104" spans="1:4" x14ac:dyDescent="0.2">
      <c r="A104" s="12">
        <v>46184</v>
      </c>
      <c r="B104" s="9">
        <v>7.4450000000000003</v>
      </c>
      <c r="C104" s="38">
        <f>IFERROR(INDEX(Ex2_UST_ACM!$B$5:$B$194,MATCH(A104,Ex2_UST_ACM!$A$5:$A$194,0)),"")</f>
        <v>4.4611000000000001</v>
      </c>
      <c r="D104" s="19">
        <f t="shared" si="3"/>
        <v>298.39000000000004</v>
      </c>
    </row>
    <row r="105" spans="1:4" x14ac:dyDescent="0.2">
      <c r="A105" s="12">
        <v>46185</v>
      </c>
      <c r="B105" s="9">
        <v>7.4169999999999998</v>
      </c>
      <c r="C105" s="38">
        <f>IFERROR(INDEX(Ex2_UST_ACM!$B$5:$B$194,MATCH(A105,Ex2_UST_ACM!$A$5:$A$194,0)),"")</f>
        <v>4.4789000000000003</v>
      </c>
      <c r="D105" s="19">
        <f t="shared" si="3"/>
        <v>293.80999999999995</v>
      </c>
    </row>
    <row r="106" spans="1:4" x14ac:dyDescent="0.2">
      <c r="A106" s="12">
        <v>46190</v>
      </c>
      <c r="B106" s="9">
        <v>6.899</v>
      </c>
      <c r="C106" s="38">
        <f>IFERROR(INDEX(Ex2_UST_ACM!$B$5:$B$194,MATCH(A106,Ex2_UST_ACM!$A$5:$A$194,0)),"")</f>
        <v>4.4869000000000003</v>
      </c>
      <c r="D106" s="19">
        <f t="shared" si="3"/>
        <v>241.20999999999998</v>
      </c>
    </row>
    <row r="107" spans="1:4" x14ac:dyDescent="0.2">
      <c r="A107" s="12">
        <v>46191</v>
      </c>
      <c r="B107" s="9">
        <v>7.0510000000000002</v>
      </c>
      <c r="C107" s="38">
        <f>IFERROR(INDEX(Ex2_UST_ACM!$B$5:$B$194,MATCH(A107,Ex2_UST_ACM!$A$5:$A$194,0)),"")</f>
        <v>4.4532999999999996</v>
      </c>
      <c r="D107" s="19">
        <f t="shared" si="3"/>
        <v>259.77000000000004</v>
      </c>
    </row>
    <row r="108" spans="1:4" x14ac:dyDescent="0.2">
      <c r="A108" s="12">
        <v>46192</v>
      </c>
      <c r="B108" s="9">
        <v>7.0759999999999996</v>
      </c>
      <c r="C108" s="38" t="str">
        <f>IFERROR(INDEX(Ex2_UST_ACM!$B$5:$B$194,MATCH(A108,Ex2_UST_ACM!$A$5:$A$194,0)),"")</f>
        <v/>
      </c>
      <c r="D108" s="19" t="str">
        <f t="shared" si="3"/>
        <v/>
      </c>
    </row>
    <row r="109" spans="1:4" x14ac:dyDescent="0.2">
      <c r="A109" s="12">
        <v>46195</v>
      </c>
      <c r="B109" s="9">
        <v>7.109</v>
      </c>
      <c r="C109" s="38">
        <f>IFERROR(INDEX(Ex2_UST_ACM!$B$5:$B$194,MATCH(A109,Ex2_UST_ACM!$A$5:$A$194,0)),"")</f>
        <v>4.5087999999999999</v>
      </c>
      <c r="D109" s="19">
        <f t="shared" si="3"/>
        <v>260.02</v>
      </c>
    </row>
    <row r="110" spans="1:4" x14ac:dyDescent="0.2">
      <c r="A110" s="12">
        <v>46196</v>
      </c>
      <c r="B110" s="9">
        <v>7.1820000000000004</v>
      </c>
      <c r="C110" s="38">
        <f>IFERROR(INDEX(Ex2_UST_ACM!$B$5:$B$194,MATCH(A110,Ex2_UST_ACM!$A$5:$A$194,0)),"")</f>
        <v>4.4969000000000001</v>
      </c>
      <c r="D110" s="19">
        <f t="shared" si="3"/>
        <v>268.51000000000005</v>
      </c>
    </row>
    <row r="111" spans="1:4" x14ac:dyDescent="0.2">
      <c r="A111" s="12">
        <v>46197</v>
      </c>
      <c r="B111" s="9">
        <v>7.218</v>
      </c>
      <c r="C111" s="38">
        <f>IFERROR(INDEX(Ex2_UST_ACM!$B$5:$B$194,MATCH(A111,Ex2_UST_ACM!$A$5:$A$194,0)),"")</f>
        <v>4.3921999999999999</v>
      </c>
      <c r="D111" s="19">
        <f t="shared" si="3"/>
        <v>282.58</v>
      </c>
    </row>
    <row r="112" spans="1:4" x14ac:dyDescent="0.2">
      <c r="A112" s="12">
        <v>46198</v>
      </c>
      <c r="B112" s="9">
        <v>7.1829999999999998</v>
      </c>
      <c r="C112" s="38">
        <f>IFERROR(INDEX(Ex2_UST_ACM!$B$5:$B$194,MATCH(A112,Ex2_UST_ACM!$A$5:$A$194,0)),"")</f>
        <v>4.3921999999999999</v>
      </c>
      <c r="D112" s="19">
        <f t="shared" si="3"/>
        <v>279.08</v>
      </c>
    </row>
    <row r="113" spans="1:4" x14ac:dyDescent="0.2">
      <c r="A113" s="12">
        <v>46199</v>
      </c>
      <c r="B113" s="9">
        <v>7.1580000000000004</v>
      </c>
      <c r="C113" s="38">
        <f>IFERROR(INDEX(Ex2_UST_ACM!$B$5:$B$194,MATCH(A113,Ex2_UST_ACM!$A$5:$A$194,0)),"")</f>
        <v>4.3685999999999998</v>
      </c>
      <c r="D113" s="19">
        <f t="shared" si="3"/>
        <v>278.94000000000005</v>
      </c>
    </row>
    <row r="114" spans="1:4" x14ac:dyDescent="0.2">
      <c r="A114" s="12">
        <v>46202</v>
      </c>
      <c r="B114" s="9">
        <v>7.1470000000000002</v>
      </c>
      <c r="C114" s="38">
        <f>IFERROR(INDEX(Ex2_UST_ACM!$B$5:$B$194,MATCH(A114,Ex2_UST_ACM!$A$5:$A$194,0)),"")</f>
        <v>4.3743999999999996</v>
      </c>
      <c r="D114" s="19">
        <f t="shared" si="3"/>
        <v>277.26000000000005</v>
      </c>
    </row>
    <row r="115" spans="1:4" x14ac:dyDescent="0.2">
      <c r="A115" s="12">
        <v>46203</v>
      </c>
      <c r="B115" s="9">
        <v>7.1580000000000004</v>
      </c>
      <c r="C115" s="38">
        <f>IFERROR(INDEX(Ex2_UST_ACM!$B$5:$B$194,MATCH(A115,Ex2_UST_ACM!$A$5:$A$194,0)),"")</f>
        <v>4.4652000000000003</v>
      </c>
      <c r="D115" s="19">
        <f t="shared" si="3"/>
        <v>269.28000000000003</v>
      </c>
    </row>
    <row r="116" spans="1:4" x14ac:dyDescent="0.2">
      <c r="A116" s="12">
        <v>46204</v>
      </c>
      <c r="B116" s="9">
        <v>7.1719999999999997</v>
      </c>
      <c r="C116" s="38">
        <f>IFERROR(INDEX(Ex2_UST_ACM!$B$5:$B$194,MATCH(A116,Ex2_UST_ACM!$A$5:$A$194,0)),"")</f>
        <v>4.4790999999999999</v>
      </c>
      <c r="D116" s="19">
        <f t="shared" si="3"/>
        <v>269.28999999999996</v>
      </c>
    </row>
    <row r="117" spans="1:4" x14ac:dyDescent="0.2">
      <c r="A117" s="12">
        <v>46205</v>
      </c>
      <c r="B117" s="9">
        <v>7.16</v>
      </c>
      <c r="C117" s="38">
        <f>IFERROR(INDEX(Ex2_UST_ACM!$B$5:$B$194,MATCH(A117,Ex2_UST_ACM!$A$5:$A$194,0)),"")</f>
        <v>4.4832000000000001</v>
      </c>
      <c r="D117" s="19">
        <f t="shared" si="3"/>
        <v>267.68</v>
      </c>
    </row>
    <row r="118" spans="1:4" x14ac:dyDescent="0.2">
      <c r="A118" s="12">
        <v>46206</v>
      </c>
      <c r="B118" s="9">
        <v>7.1369999999999996</v>
      </c>
      <c r="C118" s="38" t="str">
        <f>IFERROR(INDEX(Ex2_UST_ACM!$B$5:$B$194,MATCH(A118,Ex2_UST_ACM!$A$5:$A$194,0)),"")</f>
        <v/>
      </c>
      <c r="D118" s="19" t="str">
        <f t="shared" si="3"/>
        <v/>
      </c>
    </row>
    <row r="119" spans="1:4" x14ac:dyDescent="0.2">
      <c r="A119" s="12">
        <v>46209</v>
      </c>
      <c r="B119" s="9">
        <v>7.13</v>
      </c>
      <c r="C119" s="38">
        <f>IFERROR(INDEX(Ex2_UST_ACM!$B$5:$B$194,MATCH(A119,Ex2_UST_ACM!$A$5:$A$194,0)),"")</f>
        <v>4.4692999999999996</v>
      </c>
      <c r="D119" s="19">
        <f t="shared" si="3"/>
        <v>266.07000000000005</v>
      </c>
    </row>
    <row r="120" spans="1:4" x14ac:dyDescent="0.2">
      <c r="A120" s="12">
        <v>46210</v>
      </c>
      <c r="B120" s="9">
        <v>7.1890000000000001</v>
      </c>
      <c r="C120" s="38">
        <f>IFERROR(INDEX(Ex2_UST_ACM!$B$5:$B$194,MATCH(A120,Ex2_UST_ACM!$A$5:$A$194,0)),"")</f>
        <v>4.5510999999999999</v>
      </c>
      <c r="D120" s="19">
        <f t="shared" si="3"/>
        <v>263.79000000000002</v>
      </c>
    </row>
    <row r="121" spans="1:4" x14ac:dyDescent="0.2">
      <c r="A121" s="12">
        <v>46211</v>
      </c>
      <c r="B121" s="9">
        <v>7.2910000000000004</v>
      </c>
      <c r="C121" s="38">
        <f>IFERROR(INDEX(Ex2_UST_ACM!$B$5:$B$194,MATCH(A121,Ex2_UST_ACM!$A$5:$A$194,0)),"")</f>
        <v>4.5792000000000002</v>
      </c>
      <c r="D121" s="19">
        <f t="shared" si="3"/>
        <v>271.18</v>
      </c>
    </row>
    <row r="122" spans="1:4" x14ac:dyDescent="0.2">
      <c r="A122" s="12">
        <v>46212</v>
      </c>
      <c r="B122" s="9">
        <v>7.2850000000000001</v>
      </c>
      <c r="C122" s="38">
        <f>IFERROR(INDEX(Ex2_UST_ACM!$B$5:$B$194,MATCH(A122,Ex2_UST_ACM!$A$5:$A$194,0)),"")</f>
        <v>4.5510999999999999</v>
      </c>
      <c r="D122" s="19">
        <f t="shared" si="3"/>
        <v>273.39000000000004</v>
      </c>
    </row>
    <row r="123" spans="1:4" x14ac:dyDescent="0.2">
      <c r="A123" s="12">
        <v>46213</v>
      </c>
      <c r="B123" s="9">
        <v>7.2370000000000001</v>
      </c>
      <c r="C123" s="38">
        <f>IFERROR(INDEX(Ex2_UST_ACM!$B$5:$B$194,MATCH(A123,Ex2_UST_ACM!$A$5:$A$194,0)),"")</f>
        <v>4.5612000000000004</v>
      </c>
      <c r="D123" s="19">
        <f t="shared" si="3"/>
        <v>267.58</v>
      </c>
    </row>
    <row r="124" spans="1:4" x14ac:dyDescent="0.2">
      <c r="A124" s="12">
        <v>46216</v>
      </c>
      <c r="B124" s="9">
        <v>7.2350000000000003</v>
      </c>
      <c r="C124" s="38">
        <f>IFERROR(INDEX(Ex2_UST_ACM!$B$5:$B$194,MATCH(A124,Ex2_UST_ACM!$A$5:$A$194,0)),"")</f>
        <v>4.6237000000000004</v>
      </c>
      <c r="D124" s="19">
        <f t="shared" si="3"/>
        <v>261.13</v>
      </c>
    </row>
    <row r="125" spans="1:4" x14ac:dyDescent="0.2">
      <c r="A125" s="12">
        <v>46217</v>
      </c>
      <c r="B125" s="9">
        <v>7.2590000000000003</v>
      </c>
      <c r="C125" s="38">
        <f>IFERROR(INDEX(Ex2_UST_ACM!$B$5:$B$194,MATCH(A125,Ex2_UST_ACM!$A$5:$A$194,0)),"")</f>
        <v>4.5894000000000004</v>
      </c>
      <c r="D125" s="19">
        <f t="shared" si="3"/>
        <v>266.95999999999998</v>
      </c>
    </row>
    <row r="126" spans="1:4" x14ac:dyDescent="0.2">
      <c r="A126" s="12">
        <v>46218</v>
      </c>
      <c r="B126" s="9">
        <v>7.24</v>
      </c>
      <c r="C126" s="38">
        <f>IFERROR(INDEX(Ex2_UST_ACM!$B$5:$B$194,MATCH(A126,Ex2_UST_ACM!$A$5:$A$194,0)),"")</f>
        <v>4.5472999999999999</v>
      </c>
      <c r="D126" s="19">
        <f t="shared" si="3"/>
        <v>269.27000000000004</v>
      </c>
    </row>
    <row r="127" spans="1:4" x14ac:dyDescent="0.2">
      <c r="A127" s="12">
        <v>46219</v>
      </c>
      <c r="B127" s="9">
        <v>7.2519999999999998</v>
      </c>
      <c r="C127" s="38">
        <f>IFERROR(INDEX(Ex2_UST_ACM!$B$5:$B$194,MATCH(A127,Ex2_UST_ACM!$A$5:$A$194,0)),"")</f>
        <v>4.5533999999999999</v>
      </c>
      <c r="D127" s="19">
        <f t="shared" si="3"/>
        <v>269.86</v>
      </c>
    </row>
    <row r="128" spans="1:4" x14ac:dyDescent="0.2">
      <c r="A128" s="12">
        <v>46220</v>
      </c>
      <c r="B128" s="9">
        <v>7.2560000000000002</v>
      </c>
      <c r="C128" s="38">
        <f>IFERROR(INDEX(Ex2_UST_ACM!$B$5:$B$194,MATCH(A128,Ex2_UST_ACM!$A$5:$A$194,0)),"")</f>
        <v>4.5473999999999997</v>
      </c>
      <c r="D128" s="19">
        <f t="shared" si="3"/>
        <v>270.86000000000007</v>
      </c>
    </row>
    <row r="129" spans="1:4" x14ac:dyDescent="0.2">
      <c r="A129" s="12">
        <v>46223</v>
      </c>
      <c r="B129" s="9">
        <v>7.2770000000000001</v>
      </c>
      <c r="C129" s="38">
        <f>IFERROR(INDEX(Ex2_UST_ACM!$B$5:$B$194,MATCH(A129,Ex2_UST_ACM!$A$5:$A$194,0)),"")</f>
        <v>4.5917000000000003</v>
      </c>
      <c r="D129" s="19">
        <f t="shared" si="3"/>
        <v>268.52999999999997</v>
      </c>
    </row>
    <row r="130" spans="1:4" x14ac:dyDescent="0.2">
      <c r="A130" s="12">
        <v>46224</v>
      </c>
      <c r="B130" s="9">
        <v>7.29</v>
      </c>
      <c r="C130" s="38">
        <f>IFERROR(INDEX(Ex2_UST_ACM!$B$5:$B$194,MATCH(A130,Ex2_UST_ACM!$A$5:$A$194,0)),"")</f>
        <v>4.6280999999999999</v>
      </c>
      <c r="D130" s="19">
        <f t="shared" si="3"/>
        <v>266.19</v>
      </c>
    </row>
    <row r="131" spans="1:4" x14ac:dyDescent="0.2">
      <c r="A131" s="12">
        <v>46225</v>
      </c>
      <c r="B131" s="9">
        <v>7.3</v>
      </c>
      <c r="C131" s="38">
        <f>IFERROR(INDEX(Ex2_UST_ACM!$B$5:$B$194,MATCH(A131,Ex2_UST_ACM!$A$5:$A$194,0)),"")</f>
        <v>4.6544999999999996</v>
      </c>
      <c r="D131" s="19">
        <f t="shared" si="3"/>
        <v>264.55</v>
      </c>
    </row>
    <row r="132" spans="1:4" x14ac:dyDescent="0.2">
      <c r="A132" s="12">
        <v>46226</v>
      </c>
      <c r="B132" s="9">
        <v>7.343</v>
      </c>
      <c r="C132" s="38">
        <f>IFERROR(INDEX(Ex2_UST_ACM!$B$5:$B$194,MATCH(A132,Ex2_UST_ACM!$A$5:$A$194,0)),"")</f>
        <v>4.6932</v>
      </c>
      <c r="D132" s="19">
        <f t="shared" si="3"/>
        <v>264.98</v>
      </c>
    </row>
    <row r="133" spans="1:4" x14ac:dyDescent="0.2">
      <c r="A133" s="12">
        <v>46227</v>
      </c>
      <c r="B133" s="9">
        <v>7.3540000000000001</v>
      </c>
      <c r="C133" s="38">
        <f>IFERROR(INDEX(Ex2_UST_ACM!$B$5:$B$194,MATCH(A133,Ex2_UST_ACM!$A$5:$A$194,0)),"")</f>
        <v>4.6771000000000003</v>
      </c>
      <c r="D133" s="19">
        <f t="shared" ref="D133:D164" si="4">IF(C133="","",(B133-C133)*100)</f>
        <v>267.69</v>
      </c>
    </row>
    <row r="134" spans="1:4" x14ac:dyDescent="0.2">
      <c r="A134" s="12">
        <v>46230</v>
      </c>
      <c r="B134" s="9">
        <v>7.3719999999999999</v>
      </c>
      <c r="C134" s="38">
        <f>IFERROR(INDEX(Ex2_UST_ACM!$B$5:$B$194,MATCH(A134,Ex2_UST_ACM!$A$5:$A$194,0)),"")</f>
        <v>4.6486999999999998</v>
      </c>
      <c r="D134" s="19">
        <f t="shared" si="4"/>
        <v>272.33</v>
      </c>
    </row>
    <row r="135" spans="1:4" x14ac:dyDescent="0.2">
      <c r="A135" s="12">
        <v>46231</v>
      </c>
      <c r="B135" s="9">
        <v>7.3639999999999999</v>
      </c>
      <c r="C135" s="38">
        <f>IFERROR(INDEX(Ex2_UST_ACM!$B$5:$B$194,MATCH(A135,Ex2_UST_ACM!$A$5:$A$194,0)),"")</f>
        <v>4.6062000000000003</v>
      </c>
      <c r="D135" s="19">
        <f t="shared" si="4"/>
        <v>275.77999999999997</v>
      </c>
    </row>
    <row r="136" spans="1:4" x14ac:dyDescent="0.2">
      <c r="A136" s="12">
        <v>46232</v>
      </c>
      <c r="B136" s="9">
        <v>7.3259999999999996</v>
      </c>
      <c r="C136" s="38">
        <f>IFERROR(INDEX(Ex2_UST_ACM!$B$5:$B$194,MATCH(A136,Ex2_UST_ACM!$A$5:$A$194,0)),"")</f>
        <v>4.6772999999999998</v>
      </c>
      <c r="D136" s="19">
        <f t="shared" si="4"/>
        <v>264.87</v>
      </c>
    </row>
    <row r="137" spans="1:4" x14ac:dyDescent="0.2">
      <c r="A137" s="12">
        <v>46233</v>
      </c>
      <c r="B137" s="9">
        <v>7.3440000000000003</v>
      </c>
      <c r="C137" s="38">
        <f>IFERROR(INDEX(Ex2_UST_ACM!$B$5:$B$194,MATCH(A137,Ex2_UST_ACM!$A$5:$A$194,0)),"")</f>
        <v>4.6733000000000002</v>
      </c>
      <c r="D137" s="19">
        <f t="shared" si="4"/>
        <v>267.07</v>
      </c>
    </row>
    <row r="138" spans="1:4" x14ac:dyDescent="0.2">
      <c r="A138" s="12">
        <v>46234</v>
      </c>
      <c r="B138" s="9">
        <v>7.3360000000000003</v>
      </c>
      <c r="C138" s="38">
        <f>IFERROR(INDEX(Ex2_UST_ACM!$B$5:$B$194,MATCH(A138,Ex2_UST_ACM!$A$5:$A$194,0)),"")</f>
        <v>4.7347000000000001</v>
      </c>
      <c r="D138" s="19">
        <f t="shared" si="4"/>
        <v>260.13</v>
      </c>
    </row>
    <row r="139" spans="1:4" x14ac:dyDescent="0.2">
      <c r="A139" s="12">
        <v>46237</v>
      </c>
      <c r="B139" s="9">
        <v>7.3330000000000002</v>
      </c>
      <c r="C139" s="38">
        <f>IFERROR(INDEX(Ex2_UST_ACM!$B$5:$B$194,MATCH(A139,Ex2_UST_ACM!$A$5:$A$194,0)),"")</f>
        <v>4.6755000000000004</v>
      </c>
      <c r="D139" s="19">
        <f t="shared" si="4"/>
        <v>265.75</v>
      </c>
    </row>
    <row r="140" spans="1:4" x14ac:dyDescent="0.2">
      <c r="A140" s="12">
        <v>46238</v>
      </c>
      <c r="B140" s="9">
        <v>7.3369999999999997</v>
      </c>
      <c r="C140" s="38">
        <f>IFERROR(INDEX(Ex2_UST_ACM!$B$5:$B$194,MATCH(A140,Ex2_UST_ACM!$A$5:$A$194,0)),"")</f>
        <v>4.6125999999999996</v>
      </c>
      <c r="D140" s="19">
        <f t="shared" si="4"/>
        <v>272.44</v>
      </c>
    </row>
    <row r="141" spans="1:4" x14ac:dyDescent="0.2">
      <c r="A141" s="12">
        <v>46239</v>
      </c>
      <c r="B141" s="9">
        <v>7.2930000000000001</v>
      </c>
      <c r="C141" s="38">
        <f>IFERROR(INDEX(Ex2_UST_ACM!$B$5:$B$194,MATCH(A141,Ex2_UST_ACM!$A$5:$A$194,0)),"")</f>
        <v>4.6127000000000002</v>
      </c>
      <c r="D141" s="19">
        <f t="shared" si="4"/>
        <v>268.02999999999997</v>
      </c>
    </row>
    <row r="142" spans="1:4" x14ac:dyDescent="0.2">
      <c r="A142" s="12">
        <v>46240</v>
      </c>
      <c r="B142" s="9">
        <v>7.2850000000000001</v>
      </c>
      <c r="C142" s="38">
        <f>IFERROR(INDEX(Ex2_UST_ACM!$B$5:$B$194,MATCH(A142,Ex2_UST_ACM!$A$5:$A$194,0)),"")</f>
        <v>4.6778000000000004</v>
      </c>
      <c r="D142" s="19">
        <f t="shared" si="4"/>
        <v>260.71999999999997</v>
      </c>
    </row>
    <row r="143" spans="1:4" x14ac:dyDescent="0.2">
      <c r="A143" s="12">
        <v>46241</v>
      </c>
      <c r="B143" s="9">
        <v>7.2839999999999998</v>
      </c>
      <c r="C143" s="38">
        <f>IFERROR(INDEX(Ex2_UST_ACM!$B$5:$B$194,MATCH(A143,Ex2_UST_ACM!$A$5:$A$194,0)),"")</f>
        <v>4.6454000000000004</v>
      </c>
      <c r="D143" s="19">
        <f t="shared" si="4"/>
        <v>263.85999999999996</v>
      </c>
    </row>
    <row r="144" spans="1:4" x14ac:dyDescent="0.2">
      <c r="A144" s="12">
        <v>46244</v>
      </c>
      <c r="B144" s="9">
        <v>7.2450000000000001</v>
      </c>
      <c r="C144" s="38">
        <f>IFERROR(INDEX(Ex2_UST_ACM!$B$5:$B$194,MATCH(A144,Ex2_UST_ACM!$A$5:$A$194,0)),"")</f>
        <v>4.7066999999999997</v>
      </c>
      <c r="D144" s="19">
        <f t="shared" si="4"/>
        <v>253.83000000000004</v>
      </c>
    </row>
    <row r="145" spans="1:4" x14ac:dyDescent="0.2">
      <c r="A145" s="12">
        <v>46245</v>
      </c>
      <c r="B145" s="9">
        <v>7.2389999999999999</v>
      </c>
      <c r="C145" s="38">
        <f>IFERROR(INDEX(Ex2_UST_ACM!$B$5:$B$194,MATCH(A145,Ex2_UST_ACM!$A$5:$A$194,0)),"")</f>
        <v>4.6882999999999999</v>
      </c>
      <c r="D145" s="19">
        <f t="shared" si="4"/>
        <v>255.07</v>
      </c>
    </row>
    <row r="146" spans="1:4" x14ac:dyDescent="0.2">
      <c r="A146" s="12">
        <v>46246</v>
      </c>
      <c r="B146" s="9">
        <v>7.24</v>
      </c>
      <c r="C146" s="38">
        <f>IFERROR(INDEX(Ex2_UST_ACM!$B$5:$B$194,MATCH(A146,Ex2_UST_ACM!$A$5:$A$194,0)),"")</f>
        <v>4.6924999999999999</v>
      </c>
      <c r="D146" s="19">
        <f t="shared" si="4"/>
        <v>254.75000000000003</v>
      </c>
    </row>
    <row r="147" spans="1:4" x14ac:dyDescent="0.2">
      <c r="A147" s="12">
        <v>46247</v>
      </c>
      <c r="B147" s="9">
        <v>7.2169999999999996</v>
      </c>
      <c r="C147" s="38">
        <f>IFERROR(INDEX(Ex2_UST_ACM!$B$5:$B$194,MATCH(A147,Ex2_UST_ACM!$A$5:$A$194,0)),"")</f>
        <v>4.6426999999999996</v>
      </c>
      <c r="D147" s="19">
        <f t="shared" si="4"/>
        <v>257.43</v>
      </c>
    </row>
    <row r="148" spans="1:4" x14ac:dyDescent="0.2">
      <c r="A148" s="12">
        <v>46248</v>
      </c>
      <c r="B148" s="9">
        <v>7.18</v>
      </c>
      <c r="C148" s="38">
        <f>IFERROR(INDEX(Ex2_UST_ACM!$B$5:$B$194,MATCH(A148,Ex2_UST_ACM!$A$5:$A$194,0)),"")</f>
        <v>4.6921999999999997</v>
      </c>
      <c r="D148" s="19">
        <f t="shared" si="4"/>
        <v>248.78</v>
      </c>
    </row>
    <row r="149" spans="1:4" x14ac:dyDescent="0.2">
      <c r="A149" s="12">
        <v>46252</v>
      </c>
      <c r="B149" s="9">
        <v>7.1630000000000003</v>
      </c>
      <c r="C149" s="38">
        <f>IFERROR(INDEX(Ex2_UST_ACM!$B$5:$B$194,MATCH(A149,Ex2_UST_ACM!$A$5:$A$194,0)),"")</f>
        <v>4.7041000000000004</v>
      </c>
      <c r="D149" s="19">
        <f t="shared" si="4"/>
        <v>245.89</v>
      </c>
    </row>
    <row r="150" spans="1:4" x14ac:dyDescent="0.2">
      <c r="A150" s="12">
        <v>46253</v>
      </c>
      <c r="B150" s="9">
        <v>7.1059999999999999</v>
      </c>
      <c r="C150" s="38">
        <f>IFERROR(INDEX(Ex2_UST_ACM!$B$5:$B$194,MATCH(A150,Ex2_UST_ACM!$A$5:$A$194,0)),"")</f>
        <v>4.6466000000000003</v>
      </c>
      <c r="D150" s="19">
        <f t="shared" si="4"/>
        <v>245.93999999999997</v>
      </c>
    </row>
    <row r="151" spans="1:4" x14ac:dyDescent="0.2">
      <c r="A151" s="12">
        <v>46254</v>
      </c>
      <c r="B151" s="9">
        <v>7.024</v>
      </c>
      <c r="C151" s="38">
        <f>IFERROR(INDEX(Ex2_UST_ACM!$B$5:$B$194,MATCH(A151,Ex2_UST_ACM!$A$5:$A$194,0)),"")</f>
        <v>4.7041000000000004</v>
      </c>
      <c r="D151" s="19">
        <f t="shared" si="4"/>
        <v>231.98999999999995</v>
      </c>
    </row>
    <row r="152" spans="1:4" x14ac:dyDescent="0.2">
      <c r="A152" s="12">
        <v>46255</v>
      </c>
      <c r="B152" s="9">
        <v>6.9539999999999997</v>
      </c>
      <c r="C152" s="38">
        <f>IFERROR(INDEX(Ex2_UST_ACM!$B$5:$B$194,MATCH(A152,Ex2_UST_ACM!$A$5:$A$194,0)),"")</f>
        <v>4.7339000000000002</v>
      </c>
      <c r="D152" s="19">
        <f t="shared" si="4"/>
        <v>222.00999999999996</v>
      </c>
    </row>
    <row r="153" spans="1:4" x14ac:dyDescent="0.2">
      <c r="A153" s="12">
        <v>46258</v>
      </c>
      <c r="B153" s="9">
        <v>7.0119999999999996</v>
      </c>
      <c r="C153" s="38">
        <f>IFERROR(INDEX(Ex2_UST_ACM!$B$5:$B$194,MATCH(A153,Ex2_UST_ACM!$A$5:$A$194,0)),"")</f>
        <v>4.6961000000000004</v>
      </c>
      <c r="D153" s="19">
        <f t="shared" si="4"/>
        <v>231.58999999999992</v>
      </c>
    </row>
    <row r="154" spans="1:4" x14ac:dyDescent="0.2">
      <c r="A154" s="12">
        <v>46260</v>
      </c>
      <c r="B154" s="9">
        <v>7.0510000000000002</v>
      </c>
      <c r="C154" s="38">
        <f>IFERROR(INDEX(Ex2_UST_ACM!$B$5:$B$194,MATCH(A154,Ex2_UST_ACM!$A$5:$A$194,0)),"")</f>
        <v>4.6464999999999996</v>
      </c>
      <c r="D154" s="19">
        <f t="shared" si="4"/>
        <v>240.45000000000005</v>
      </c>
    </row>
    <row r="155" spans="1:4" x14ac:dyDescent="0.2">
      <c r="A155" s="12">
        <v>46261</v>
      </c>
      <c r="B155" s="9">
        <v>7.0810000000000004</v>
      </c>
      <c r="C155" s="38">
        <f>IFERROR(INDEX(Ex2_UST_ACM!$B$5:$B$194,MATCH(A155,Ex2_UST_ACM!$A$5:$A$194,0)),"")</f>
        <v>4.6761999999999997</v>
      </c>
      <c r="D155" s="19">
        <f t="shared" si="4"/>
        <v>240.48000000000008</v>
      </c>
    </row>
    <row r="156" spans="1:4" x14ac:dyDescent="0.2">
      <c r="A156" s="12">
        <v>46262</v>
      </c>
      <c r="B156" s="9">
        <v>7.0039999999999996</v>
      </c>
      <c r="C156" s="38">
        <f>IFERROR(INDEX(Ex2_UST_ACM!$B$5:$B$194,MATCH(A156,Ex2_UST_ACM!$A$5:$A$194,0)),"")</f>
        <v>4.718</v>
      </c>
      <c r="D156" s="19">
        <f t="shared" si="4"/>
        <v>228.59999999999997</v>
      </c>
    </row>
    <row r="157" spans="1:4" x14ac:dyDescent="0.2">
      <c r="A157" s="12">
        <v>46265</v>
      </c>
      <c r="B157" s="9">
        <v>7.0250000000000004</v>
      </c>
      <c r="C157" s="38">
        <f>IFERROR(INDEX(Ex2_UST_ACM!$B$5:$B$194,MATCH(A157,Ex2_UST_ACM!$A$5:$A$194,0)),"")</f>
        <v>4.75</v>
      </c>
      <c r="D157" s="19">
        <f t="shared" si="4"/>
        <v>227.50000000000003</v>
      </c>
    </row>
    <row r="158" spans="1:4" x14ac:dyDescent="0.2">
      <c r="A158" s="12">
        <v>46266</v>
      </c>
      <c r="B158" s="9">
        <v>7.0640000000000001</v>
      </c>
      <c r="C158" s="38">
        <f>IFERROR(INDEX(Ex2_UST_ACM!$B$5:$B$194,MATCH(A158,Ex2_UST_ACM!$A$5:$A$194,0)),"")</f>
        <v>4.7980999999999998</v>
      </c>
      <c r="D158" s="19">
        <f t="shared" si="4"/>
        <v>226.59000000000003</v>
      </c>
    </row>
    <row r="159" spans="1:4" x14ac:dyDescent="0.2">
      <c r="A159" s="12">
        <v>46267</v>
      </c>
      <c r="B159" s="9">
        <v>7.05</v>
      </c>
      <c r="C159" s="38">
        <f>IFERROR(INDEX(Ex2_UST_ACM!$B$5:$B$194,MATCH(A159,Ex2_UST_ACM!$A$5:$A$194,0)),"")</f>
        <v>4.7779999999999996</v>
      </c>
      <c r="D159" s="19">
        <f t="shared" si="4"/>
        <v>227.20000000000002</v>
      </c>
    </row>
    <row r="160" spans="1:4" x14ac:dyDescent="0.2">
      <c r="A160" s="12">
        <v>46268</v>
      </c>
      <c r="B160" s="9">
        <v>7.1289999999999996</v>
      </c>
      <c r="C160" s="38">
        <f>IFERROR(INDEX(Ex2_UST_ACM!$B$5:$B$194,MATCH(A160,Ex2_UST_ACM!$A$5:$A$194,0)),"")</f>
        <v>4.7679999999999998</v>
      </c>
      <c r="D160" s="19">
        <f t="shared" si="4"/>
        <v>236.09999999999997</v>
      </c>
    </row>
    <row r="161" spans="1:4" x14ac:dyDescent="0.2">
      <c r="A161" s="12">
        <v>46269</v>
      </c>
      <c r="B161" s="9">
        <v>7.1150000000000002</v>
      </c>
      <c r="C161" s="38">
        <f>IFERROR(INDEX(Ex2_UST_ACM!$B$5:$B$194,MATCH(A161,Ex2_UST_ACM!$A$5:$A$194,0)),"")</f>
        <v>4.7820999999999998</v>
      </c>
      <c r="D161" s="19">
        <f t="shared" si="4"/>
        <v>233.29000000000005</v>
      </c>
    </row>
    <row r="162" spans="1:4" x14ac:dyDescent="0.2">
      <c r="A162" s="12">
        <v>46272</v>
      </c>
      <c r="B162" s="9">
        <v>7.11</v>
      </c>
      <c r="C162" s="38" t="str">
        <f>IFERROR(INDEX(Ex2_UST_ACM!$B$5:$B$194,MATCH(A162,Ex2_UST_ACM!$A$5:$A$194,0)),"")</f>
        <v/>
      </c>
      <c r="D162" s="19" t="str">
        <f t="shared" si="4"/>
        <v/>
      </c>
    </row>
    <row r="163" spans="1:4" x14ac:dyDescent="0.2">
      <c r="A163" s="12">
        <v>46273</v>
      </c>
      <c r="B163" s="9">
        <v>7.1130000000000004</v>
      </c>
      <c r="C163" s="38">
        <f>IFERROR(INDEX(Ex2_UST_ACM!$B$5:$B$194,MATCH(A163,Ex2_UST_ACM!$A$5:$A$194,0)),"")</f>
        <v>4.7881999999999998</v>
      </c>
      <c r="D163" s="19">
        <f t="shared" si="4"/>
        <v>232.48000000000008</v>
      </c>
    </row>
    <row r="164" spans="1:4" x14ac:dyDescent="0.2">
      <c r="A164" s="12">
        <v>46274</v>
      </c>
      <c r="B164" s="9">
        <v>7.0990000000000002</v>
      </c>
      <c r="C164" s="38">
        <f>IFERROR(INDEX(Ex2_UST_ACM!$B$5:$B$194,MATCH(A164,Ex2_UST_ACM!$A$5:$A$194,0)),"")</f>
        <v>4.8406000000000002</v>
      </c>
      <c r="D164" s="19">
        <f t="shared" si="4"/>
        <v>225.84</v>
      </c>
    </row>
    <row r="165" spans="1:4" x14ac:dyDescent="0.2">
      <c r="A165" s="12">
        <v>46275</v>
      </c>
      <c r="B165" s="9">
        <v>7.109</v>
      </c>
      <c r="C165" s="38">
        <f>IFERROR(INDEX(Ex2_UST_ACM!$B$5:$B$194,MATCH(A165,Ex2_UST_ACM!$A$5:$A$194,0)),"")</f>
        <v>4.9626000000000001</v>
      </c>
      <c r="D165" s="19">
        <f t="shared" ref="D165:D196" si="5">IF(C165="","",(B165-C165)*100)</f>
        <v>214.64</v>
      </c>
    </row>
    <row r="166" spans="1:4" x14ac:dyDescent="0.2">
      <c r="A166" s="12">
        <v>46276</v>
      </c>
      <c r="B166" s="9">
        <v>7.1509999999999998</v>
      </c>
      <c r="C166" s="38">
        <f>IFERROR(INDEX(Ex2_UST_ACM!$B$5:$B$194,MATCH(A166,Ex2_UST_ACM!$A$5:$A$194,0)),"")</f>
        <v>4.9668999999999999</v>
      </c>
      <c r="D166" s="19">
        <f t="shared" si="5"/>
        <v>218.41</v>
      </c>
    </row>
    <row r="167" spans="1:4" x14ac:dyDescent="0.2">
      <c r="A167" s="12">
        <v>46279</v>
      </c>
      <c r="B167" s="9">
        <v>7.1580000000000004</v>
      </c>
      <c r="C167" s="38">
        <f>IFERROR(INDEX(Ex2_UST_ACM!$B$5:$B$194,MATCH(A167,Ex2_UST_ACM!$A$5:$A$194,0)),"")</f>
        <v>4.9874999999999998</v>
      </c>
      <c r="D167" s="19">
        <f t="shared" si="5"/>
        <v>217.05000000000007</v>
      </c>
    </row>
    <row r="168" spans="1:4" x14ac:dyDescent="0.2">
      <c r="A168" s="12">
        <v>46280</v>
      </c>
      <c r="B168" s="9">
        <v>7.1790000000000003</v>
      </c>
      <c r="C168" s="38">
        <f>IFERROR(INDEX(Ex2_UST_ACM!$B$5:$B$194,MATCH(A168,Ex2_UST_ACM!$A$5:$A$194,0)),"")</f>
        <v>5.0019</v>
      </c>
      <c r="D168" s="19">
        <f t="shared" si="5"/>
        <v>217.71000000000004</v>
      </c>
    </row>
    <row r="169" spans="1:4" x14ac:dyDescent="0.2">
      <c r="A169" s="12">
        <v>46281</v>
      </c>
      <c r="B169" s="9">
        <v>7.1589999999999998</v>
      </c>
      <c r="C169" s="38">
        <f>IFERROR(INDEX(Ex2_UST_ACM!$B$5:$B$194,MATCH(A169,Ex2_UST_ACM!$A$5:$A$194,0)),"")</f>
        <v>5.0225</v>
      </c>
      <c r="D169" s="19">
        <f t="shared" si="5"/>
        <v>213.64999999999998</v>
      </c>
    </row>
    <row r="170" spans="1:4" x14ac:dyDescent="0.2">
      <c r="A170" s="12">
        <v>46282</v>
      </c>
      <c r="B170" s="9">
        <v>7.157</v>
      </c>
      <c r="C170" s="38">
        <f>IFERROR(INDEX(Ex2_UST_ACM!$B$5:$B$194,MATCH(A170,Ex2_UST_ACM!$A$5:$A$194,0)),"")</f>
        <v>4.9303999999999997</v>
      </c>
      <c r="D170" s="19">
        <f t="shared" si="5"/>
        <v>222.66000000000003</v>
      </c>
    </row>
    <row r="171" spans="1:4" x14ac:dyDescent="0.2">
      <c r="A171" s="12">
        <v>46283</v>
      </c>
      <c r="B171" s="9">
        <v>7.1219999999999999</v>
      </c>
      <c r="C171" s="38">
        <f>IFERROR(INDEX(Ex2_UST_ACM!$B$5:$B$194,MATCH(A171,Ex2_UST_ACM!$A$5:$A$194,0)),"")</f>
        <v>4.9961000000000002</v>
      </c>
      <c r="D171" s="19">
        <f t="shared" si="5"/>
        <v>212.58999999999997</v>
      </c>
    </row>
    <row r="172" spans="1:4" x14ac:dyDescent="0.2">
      <c r="A172" s="12">
        <v>46286</v>
      </c>
      <c r="B172" s="9">
        <v>7.11</v>
      </c>
      <c r="C172" s="38">
        <f>IFERROR(INDEX(Ex2_UST_ACM!$B$5:$B$194,MATCH(A172,Ex2_UST_ACM!$A$5:$A$194,0)),"")</f>
        <v>4.9509999999999996</v>
      </c>
      <c r="D172" s="19">
        <f t="shared" si="5"/>
        <v>215.90000000000006</v>
      </c>
    </row>
    <row r="173" spans="1:4" x14ac:dyDescent="0.2">
      <c r="A173" s="12">
        <v>46287</v>
      </c>
      <c r="B173" s="9">
        <v>7.1130000000000004</v>
      </c>
      <c r="C173" s="38">
        <f>IFERROR(INDEX(Ex2_UST_ACM!$B$5:$B$194,MATCH(A173,Ex2_UST_ACM!$A$5:$A$194,0)),"")</f>
        <v>4.9612999999999996</v>
      </c>
      <c r="D173" s="19">
        <f t="shared" si="5"/>
        <v>215.17000000000007</v>
      </c>
    </row>
    <row r="174" spans="1:4" x14ac:dyDescent="0.2">
      <c r="A174" s="12">
        <v>46288</v>
      </c>
      <c r="B174" s="9">
        <v>7.0970000000000004</v>
      </c>
      <c r="C174" s="38">
        <f>IFERROR(INDEX(Ex2_UST_ACM!$B$5:$B$194,MATCH(A174,Ex2_UST_ACM!$A$5:$A$194,0)),"")</f>
        <v>5.1142000000000003</v>
      </c>
      <c r="D174" s="19">
        <f t="shared" si="5"/>
        <v>198.28</v>
      </c>
    </row>
    <row r="175" spans="1:4" x14ac:dyDescent="0.2">
      <c r="A175" s="12">
        <v>46293</v>
      </c>
      <c r="B175" s="9">
        <v>7.1390000000000002</v>
      </c>
      <c r="C175" s="38">
        <f>IFERROR(INDEX(Ex2_UST_ACM!$B$5:$B$194,MATCH(A175,Ex2_UST_ACM!$A$5:$A$194,0)),"")</f>
        <v>5.2361000000000004</v>
      </c>
      <c r="D175" s="19">
        <f t="shared" si="5"/>
        <v>190.29</v>
      </c>
    </row>
    <row r="176" spans="1:4" x14ac:dyDescent="0.2">
      <c r="A176" s="12">
        <v>46294</v>
      </c>
      <c r="B176" s="9">
        <v>7.2149999999999999</v>
      </c>
      <c r="C176" s="38">
        <f>IFERROR(INDEX(Ex2_UST_ACM!$B$5:$B$194,MATCH(A176,Ex2_UST_ACM!$A$5:$A$194,0)),"")</f>
        <v>5.2362000000000002</v>
      </c>
      <c r="D176" s="19">
        <f t="shared" si="5"/>
        <v>197.87999999999997</v>
      </c>
    </row>
    <row r="177" spans="1:4" x14ac:dyDescent="0.2">
      <c r="A177" s="12">
        <v>46295</v>
      </c>
      <c r="B177" s="9">
        <v>7.1440000000000001</v>
      </c>
      <c r="C177" s="38">
        <f>IFERROR(INDEX(Ex2_UST_ACM!$B$5:$B$194,MATCH(A177,Ex2_UST_ACM!$A$5:$A$194,0)),"")</f>
        <v>5.2849000000000004</v>
      </c>
      <c r="D177" s="19">
        <f t="shared" si="5"/>
        <v>185.90999999999997</v>
      </c>
    </row>
    <row r="178" spans="1:4" x14ac:dyDescent="0.2">
      <c r="A178" s="12">
        <v>46296</v>
      </c>
      <c r="B178" s="9">
        <v>7.165</v>
      </c>
      <c r="C178" s="38">
        <f>IFERROR(INDEX(Ex2_UST_ACM!$B$5:$B$194,MATCH(A178,Ex2_UST_ACM!$A$5:$A$194,0)),"")</f>
        <v>5.2407000000000004</v>
      </c>
      <c r="D178" s="19">
        <f t="shared" si="5"/>
        <v>192.42999999999998</v>
      </c>
    </row>
    <row r="179" spans="1:4" x14ac:dyDescent="0.2">
      <c r="A179" s="12">
        <v>46297</v>
      </c>
      <c r="B179" s="9">
        <v>7.1660000000000004</v>
      </c>
      <c r="C179" s="38">
        <f>IFERROR(INDEX(Ex2_UST_ACM!$B$5:$B$194,MATCH(A179,Ex2_UST_ACM!$A$5:$A$194,0)),"")</f>
        <v>5.2706</v>
      </c>
      <c r="D179" s="19">
        <f t="shared" si="5"/>
        <v>189.54000000000005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6"/>
  <sheetViews>
    <sheetView showGridLines="0" workbookViewId="0"/>
  </sheetViews>
  <sheetFormatPr baseColWidth="10" defaultColWidth="8.83203125" defaultRowHeight="15" x14ac:dyDescent="0.2"/>
  <cols>
    <col min="1" max="1" width="6" customWidth="1"/>
    <col min="2" max="2" width="30" customWidth="1"/>
    <col min="3" max="3" width="36" customWidth="1"/>
    <col min="4" max="4" width="14" customWidth="1"/>
    <col min="5" max="5" width="40" customWidth="1"/>
  </cols>
  <sheetData>
    <row r="1" spans="1:5" ht="18" x14ac:dyDescent="0.2">
      <c r="A1" s="1" t="s">
        <v>221</v>
      </c>
    </row>
    <row r="2" spans="1:5" x14ac:dyDescent="0.2">
      <c r="A2" s="2" t="s">
        <v>222</v>
      </c>
    </row>
    <row r="4" spans="1:5" x14ac:dyDescent="0.2">
      <c r="A4" s="10" t="s">
        <v>223</v>
      </c>
      <c r="B4" s="10" t="s">
        <v>224</v>
      </c>
      <c r="C4" s="10" t="s">
        <v>225</v>
      </c>
      <c r="D4" s="10" t="s">
        <v>226</v>
      </c>
      <c r="E4" s="10" t="s">
        <v>227</v>
      </c>
    </row>
    <row r="5" spans="1:5" x14ac:dyDescent="0.2">
      <c r="A5" s="20">
        <v>1</v>
      </c>
      <c r="B5" s="20" t="s">
        <v>228</v>
      </c>
      <c r="C5" s="20" t="s">
        <v>229</v>
      </c>
      <c r="D5" s="41"/>
      <c r="E5" s="20" t="s">
        <v>230</v>
      </c>
    </row>
    <row r="6" spans="1:5" x14ac:dyDescent="0.2">
      <c r="A6" s="20">
        <v>1</v>
      </c>
      <c r="B6" s="20" t="s">
        <v>228</v>
      </c>
      <c r="C6" s="20" t="s">
        <v>231</v>
      </c>
      <c r="D6" s="41">
        <f>Ex1_CME_Path!M6</f>
        <v>3.92625</v>
      </c>
      <c r="E6" s="20" t="s">
        <v>232</v>
      </c>
    </row>
    <row r="7" spans="1:5" x14ac:dyDescent="0.2">
      <c r="A7" s="20">
        <v>1</v>
      </c>
      <c r="B7" s="20" t="s">
        <v>228</v>
      </c>
      <c r="C7" s="20" t="s">
        <v>233</v>
      </c>
      <c r="D7" s="41">
        <f>Ex1_CME_Path!M7</f>
        <v>4.1187500000000004</v>
      </c>
      <c r="E7" s="20" t="s">
        <v>232</v>
      </c>
    </row>
    <row r="8" spans="1:5" x14ac:dyDescent="0.2">
      <c r="A8" s="20">
        <v>1</v>
      </c>
      <c r="B8" s="20" t="s">
        <v>228</v>
      </c>
      <c r="C8" s="20" t="s">
        <v>234</v>
      </c>
      <c r="D8" s="41">
        <f>Ex1_CME_Path!M15</f>
        <v>4.6818637274549095</v>
      </c>
      <c r="E8" s="20" t="s">
        <v>232</v>
      </c>
    </row>
    <row r="9" spans="1:5" x14ac:dyDescent="0.2">
      <c r="A9" s="20">
        <v>1</v>
      </c>
      <c r="B9" s="20" t="s">
        <v>228</v>
      </c>
      <c r="C9" s="20" t="s">
        <v>235</v>
      </c>
      <c r="D9" s="42">
        <f>Ex1_CME_Path!L7</f>
        <v>0.81700000000000006</v>
      </c>
      <c r="E9" s="20" t="s">
        <v>236</v>
      </c>
    </row>
    <row r="10" spans="1:5" x14ac:dyDescent="0.2">
      <c r="A10" s="20">
        <v>1</v>
      </c>
      <c r="B10" s="20" t="s">
        <v>237</v>
      </c>
      <c r="C10" s="20" t="s">
        <v>238</v>
      </c>
      <c r="D10" s="41">
        <f>Ex2_UST_ACM!J5</f>
        <v>11.019999999999985</v>
      </c>
      <c r="E10" s="20" t="s">
        <v>239</v>
      </c>
    </row>
    <row r="11" spans="1:5" x14ac:dyDescent="0.2">
      <c r="A11" s="20">
        <v>1</v>
      </c>
      <c r="B11" s="20" t="s">
        <v>237</v>
      </c>
      <c r="C11" s="20" t="s">
        <v>240</v>
      </c>
      <c r="D11" s="41">
        <f>Ex2_UST_ACM!J12</f>
        <v>5.2706</v>
      </c>
      <c r="E11" s="20" t="s">
        <v>232</v>
      </c>
    </row>
    <row r="12" spans="1:5" x14ac:dyDescent="0.2">
      <c r="A12" s="20">
        <v>1</v>
      </c>
      <c r="B12" s="20" t="s">
        <v>237</v>
      </c>
      <c r="C12" s="20" t="s">
        <v>241</v>
      </c>
      <c r="D12" s="41">
        <f>Ex2_UST_ACM!K5</f>
        <v>14.219999999999999</v>
      </c>
      <c r="E12" s="20" t="s">
        <v>239</v>
      </c>
    </row>
    <row r="13" spans="1:5" x14ac:dyDescent="0.2">
      <c r="A13" s="20">
        <v>1</v>
      </c>
      <c r="B13" s="20" t="s">
        <v>237</v>
      </c>
      <c r="C13" s="20" t="s">
        <v>242</v>
      </c>
      <c r="D13" s="41">
        <f>Ex2_UST_ACM!J13</f>
        <v>0.91369999999999996</v>
      </c>
      <c r="E13" s="20" t="s">
        <v>232</v>
      </c>
    </row>
    <row r="14" spans="1:5" x14ac:dyDescent="0.2">
      <c r="A14" s="20">
        <v>1</v>
      </c>
      <c r="B14" s="20" t="s">
        <v>237</v>
      </c>
      <c r="C14" s="20" t="s">
        <v>243</v>
      </c>
      <c r="D14" s="41">
        <f>Ex2_UST_ACM!K8</f>
        <v>16.589999999999993</v>
      </c>
      <c r="E14" s="20" t="s">
        <v>244</v>
      </c>
    </row>
    <row r="15" spans="1:5" x14ac:dyDescent="0.2">
      <c r="A15" s="20">
        <v>1</v>
      </c>
      <c r="B15" s="20" t="s">
        <v>237</v>
      </c>
      <c r="C15" s="20" t="s">
        <v>245</v>
      </c>
      <c r="D15" s="41">
        <f>Ex2_UST_ACM!K7</f>
        <v>40.75</v>
      </c>
      <c r="E15" s="20" t="s">
        <v>246</v>
      </c>
    </row>
    <row r="16" spans="1:5" x14ac:dyDescent="0.2">
      <c r="A16" s="20">
        <v>1</v>
      </c>
      <c r="B16" s="20" t="s">
        <v>247</v>
      </c>
      <c r="C16" s="20" t="s">
        <v>248</v>
      </c>
      <c r="D16" s="41">
        <f>Ex2_UST_ACM!M5</f>
        <v>-2.6900000000000368</v>
      </c>
      <c r="E16" s="20" t="s">
        <v>239</v>
      </c>
    </row>
    <row r="17" spans="1:5" x14ac:dyDescent="0.2">
      <c r="A17" s="20">
        <v>1</v>
      </c>
      <c r="B17" s="20" t="s">
        <v>247</v>
      </c>
      <c r="C17" s="20" t="s">
        <v>249</v>
      </c>
      <c r="D17" s="41">
        <f>Ex2_UST_ACM!J15</f>
        <v>44.589999999999996</v>
      </c>
      <c r="E17" s="20" t="s">
        <v>250</v>
      </c>
    </row>
    <row r="18" spans="1:5" x14ac:dyDescent="0.2">
      <c r="A18" s="20">
        <v>2</v>
      </c>
      <c r="B18" s="20" t="s">
        <v>251</v>
      </c>
      <c r="C18" s="20" t="s">
        <v>252</v>
      </c>
      <c r="D18" s="42">
        <f>Ex3_SOX_Hyperscalers!K10</f>
        <v>0.85464168317654998</v>
      </c>
      <c r="E18" s="20" t="s">
        <v>236</v>
      </c>
    </row>
    <row r="19" spans="1:5" x14ac:dyDescent="0.2">
      <c r="A19" s="20">
        <v>2</v>
      </c>
      <c r="B19" s="20" t="s">
        <v>251</v>
      </c>
      <c r="C19" s="20" t="s">
        <v>253</v>
      </c>
      <c r="D19" s="42">
        <f>Ex3_SOX_Hyperscalers!K16</f>
        <v>1.54973981750961E-2</v>
      </c>
      <c r="E19" s="20" t="s">
        <v>236</v>
      </c>
    </row>
    <row r="20" spans="1:5" x14ac:dyDescent="0.2">
      <c r="A20" s="20">
        <v>2</v>
      </c>
      <c r="B20" s="20" t="s">
        <v>251</v>
      </c>
      <c r="C20" s="20" t="s">
        <v>254</v>
      </c>
      <c r="D20" s="42">
        <f>Ex3_SOX_Hyperscalers!K15</f>
        <v>-0.26991945000256523</v>
      </c>
      <c r="E20" s="20" t="s">
        <v>236</v>
      </c>
    </row>
    <row r="21" spans="1:5" x14ac:dyDescent="0.2">
      <c r="A21" s="20">
        <v>2</v>
      </c>
      <c r="B21" s="20" t="s">
        <v>251</v>
      </c>
      <c r="C21" s="20" t="s">
        <v>255</v>
      </c>
      <c r="D21" s="42">
        <f>Ex3_SOX_Hyperscalers!M10</f>
        <v>3.692024504042557E-2</v>
      </c>
      <c r="E21" s="20" t="s">
        <v>236</v>
      </c>
    </row>
    <row r="22" spans="1:5" x14ac:dyDescent="0.2">
      <c r="A22" s="20">
        <v>2</v>
      </c>
      <c r="B22" s="20" t="s">
        <v>251</v>
      </c>
      <c r="C22" s="20" t="s">
        <v>256</v>
      </c>
      <c r="D22" s="41">
        <f>P2_Text_Data!B18</f>
        <v>33.36</v>
      </c>
      <c r="E22" s="20" t="s">
        <v>257</v>
      </c>
    </row>
    <row r="23" spans="1:5" x14ac:dyDescent="0.2">
      <c r="A23" s="20">
        <v>2</v>
      </c>
      <c r="B23" s="20" t="s">
        <v>251</v>
      </c>
      <c r="C23" s="20" t="s">
        <v>258</v>
      </c>
      <c r="D23" s="42">
        <f>P2_Text_Data!B22</f>
        <v>8.5356348861574505E-2</v>
      </c>
      <c r="E23" s="20" t="s">
        <v>236</v>
      </c>
    </row>
    <row r="24" spans="1:5" x14ac:dyDescent="0.2">
      <c r="A24" s="20">
        <v>2</v>
      </c>
      <c r="B24" s="20" t="s">
        <v>259</v>
      </c>
      <c r="C24" s="20" t="s">
        <v>260</v>
      </c>
      <c r="D24" s="42">
        <f>P2_Text_Data!F8</f>
        <v>0.39127722705509482</v>
      </c>
      <c r="E24" s="20" t="s">
        <v>261</v>
      </c>
    </row>
    <row r="25" spans="1:5" x14ac:dyDescent="0.2">
      <c r="A25" s="20">
        <v>2</v>
      </c>
      <c r="B25" s="20" t="s">
        <v>259</v>
      </c>
      <c r="C25" s="20" t="s">
        <v>262</v>
      </c>
      <c r="D25" s="41">
        <f>P2_Text_Data!C15</f>
        <v>2.3684035568852324</v>
      </c>
      <c r="E25" s="20" t="s">
        <v>263</v>
      </c>
    </row>
    <row r="26" spans="1:5" x14ac:dyDescent="0.2">
      <c r="A26" s="20">
        <v>2</v>
      </c>
      <c r="B26" s="20" t="s">
        <v>259</v>
      </c>
      <c r="C26" s="20" t="s">
        <v>264</v>
      </c>
      <c r="D26" s="42">
        <f>Ex4_Hyperscaler_Bonds!G12</f>
        <v>0.6836461126005362</v>
      </c>
      <c r="E26" s="20" t="s">
        <v>265</v>
      </c>
    </row>
    <row r="27" spans="1:5" x14ac:dyDescent="0.2">
      <c r="A27" s="20">
        <v>2</v>
      </c>
      <c r="B27" s="20" t="s">
        <v>266</v>
      </c>
      <c r="C27" s="20" t="s">
        <v>267</v>
      </c>
      <c r="D27" s="41">
        <f>P2_Text_Data!E34</f>
        <v>188.33984757643344</v>
      </c>
      <c r="E27" s="20" t="s">
        <v>239</v>
      </c>
    </row>
    <row r="28" spans="1:5" x14ac:dyDescent="0.2">
      <c r="A28" s="20">
        <v>2</v>
      </c>
      <c r="B28" s="20" t="s">
        <v>266</v>
      </c>
      <c r="C28" s="20" t="s">
        <v>268</v>
      </c>
      <c r="D28" s="42">
        <f>Ex3_SOX_Hyperscalers!L12</f>
        <v>0.38740550104552041</v>
      </c>
      <c r="E28" s="20" t="s">
        <v>236</v>
      </c>
    </row>
    <row r="29" spans="1:5" x14ac:dyDescent="0.2">
      <c r="A29" s="20">
        <v>2</v>
      </c>
      <c r="B29" s="20" t="s">
        <v>266</v>
      </c>
      <c r="C29" s="20" t="s">
        <v>269</v>
      </c>
      <c r="D29" s="42">
        <f>Ex3_SOX_Hyperscalers!L14</f>
        <v>0.29254913099824265</v>
      </c>
      <c r="E29" s="20" t="s">
        <v>236</v>
      </c>
    </row>
    <row r="30" spans="1:5" x14ac:dyDescent="0.2">
      <c r="A30" s="20">
        <v>2</v>
      </c>
      <c r="B30" s="20" t="s">
        <v>266</v>
      </c>
      <c r="C30" s="20" t="s">
        <v>270</v>
      </c>
      <c r="D30" s="42">
        <f>Ex3_SOX_Hyperscalers!L15</f>
        <v>-2.9000341180484446E-2</v>
      </c>
      <c r="E30" s="20" t="s">
        <v>236</v>
      </c>
    </row>
    <row r="31" spans="1:5" x14ac:dyDescent="0.2">
      <c r="A31" s="20">
        <v>3</v>
      </c>
      <c r="B31" s="20" t="s">
        <v>271</v>
      </c>
      <c r="C31" s="20" t="s">
        <v>272</v>
      </c>
      <c r="D31" s="41">
        <f>Ex5_FXR_USDIDR!J8</f>
        <v>17513</v>
      </c>
      <c r="E31" s="20" t="s">
        <v>273</v>
      </c>
    </row>
    <row r="32" spans="1:5" x14ac:dyDescent="0.2">
      <c r="A32" s="20">
        <v>3</v>
      </c>
      <c r="B32" s="20" t="s">
        <v>271</v>
      </c>
      <c r="C32" s="20" t="s">
        <v>274</v>
      </c>
      <c r="D32" s="41">
        <f>Ex5_FXR_USDIDR!J5</f>
        <v>17875</v>
      </c>
      <c r="E32" s="20" t="s">
        <v>275</v>
      </c>
    </row>
    <row r="33" spans="1:5" x14ac:dyDescent="0.2">
      <c r="A33" s="20">
        <v>3</v>
      </c>
      <c r="B33" s="20" t="s">
        <v>271</v>
      </c>
      <c r="C33" s="20" t="s">
        <v>276</v>
      </c>
      <c r="D33" s="41">
        <f>Ex5_FXR_USDIDR!J10</f>
        <v>18178</v>
      </c>
      <c r="E33" s="20" t="s">
        <v>275</v>
      </c>
    </row>
    <row r="34" spans="1:5" x14ac:dyDescent="0.2">
      <c r="A34" s="20">
        <v>3</v>
      </c>
      <c r="B34" s="20" t="s">
        <v>271</v>
      </c>
      <c r="C34" s="20" t="s">
        <v>277</v>
      </c>
      <c r="D34" s="41">
        <f>Ex5_FXR_USDIDR!G5</f>
        <v>146.5076</v>
      </c>
      <c r="E34" s="20" t="s">
        <v>278</v>
      </c>
    </row>
    <row r="35" spans="1:5" x14ac:dyDescent="0.2">
      <c r="A35" s="20">
        <v>3</v>
      </c>
      <c r="B35" s="20" t="s">
        <v>271</v>
      </c>
      <c r="C35" s="20" t="s">
        <v>279</v>
      </c>
      <c r="D35" s="41">
        <f>Ex5_FXR_USDIDR!G7</f>
        <v>-9.9634000000000071</v>
      </c>
      <c r="E35" s="20" t="s">
        <v>278</v>
      </c>
    </row>
    <row r="36" spans="1:5" x14ac:dyDescent="0.2">
      <c r="A36" s="20">
        <v>3</v>
      </c>
      <c r="B36" s="20" t="s">
        <v>271</v>
      </c>
      <c r="C36" s="20" t="s">
        <v>280</v>
      </c>
      <c r="D36" s="41">
        <f>Ex5_FXR_USDIDR!G8</f>
        <v>144.89840000000001</v>
      </c>
      <c r="E36" s="20" t="s">
        <v>278</v>
      </c>
    </row>
    <row r="37" spans="1:5" x14ac:dyDescent="0.2">
      <c r="A37" s="20">
        <v>3</v>
      </c>
      <c r="B37" s="20" t="s">
        <v>271</v>
      </c>
      <c r="C37" s="20" t="s">
        <v>281</v>
      </c>
      <c r="D37" s="42">
        <f>Ex5_FXR_USDIDR!J7</f>
        <v>7.1000599161174405E-2</v>
      </c>
      <c r="E37" s="20" t="s">
        <v>236</v>
      </c>
    </row>
    <row r="38" spans="1:5" x14ac:dyDescent="0.2">
      <c r="A38" s="20">
        <v>3</v>
      </c>
      <c r="B38" s="20" t="s">
        <v>282</v>
      </c>
      <c r="C38" s="20" t="s">
        <v>283</v>
      </c>
      <c r="D38" s="41">
        <f>Ex6_Trade_Balance!G5</f>
        <v>3.5522</v>
      </c>
      <c r="E38" s="20" t="s">
        <v>284</v>
      </c>
    </row>
    <row r="39" spans="1:5" x14ac:dyDescent="0.2">
      <c r="A39" s="20">
        <v>3</v>
      </c>
      <c r="B39" s="20" t="s">
        <v>282</v>
      </c>
      <c r="C39" s="20" t="s">
        <v>285</v>
      </c>
      <c r="D39" s="41">
        <f>Ex6_Trade_Balance!G8</f>
        <v>19.046900000000001</v>
      </c>
      <c r="E39" s="20" t="s">
        <v>278</v>
      </c>
    </row>
    <row r="40" spans="1:5" x14ac:dyDescent="0.2">
      <c r="A40" s="20">
        <v>3</v>
      </c>
      <c r="B40" s="20" t="s">
        <v>282</v>
      </c>
      <c r="C40" s="20" t="s">
        <v>286</v>
      </c>
      <c r="D40" s="41">
        <f>Ex6_Trade_Balance!G9</f>
        <v>41.669200000000004</v>
      </c>
      <c r="E40" s="20" t="s">
        <v>278</v>
      </c>
    </row>
    <row r="41" spans="1:5" x14ac:dyDescent="0.2">
      <c r="A41" s="20">
        <v>3</v>
      </c>
      <c r="B41" s="20" t="s">
        <v>282</v>
      </c>
      <c r="C41" s="20" t="s">
        <v>287</v>
      </c>
      <c r="D41" s="42">
        <f>Ex6_Trade_Balance!G12</f>
        <v>-0.75291768466175302</v>
      </c>
      <c r="E41" s="20" t="s">
        <v>288</v>
      </c>
    </row>
    <row r="42" spans="1:5" x14ac:dyDescent="0.2">
      <c r="A42" s="20">
        <v>3</v>
      </c>
      <c r="B42" s="20" t="s">
        <v>289</v>
      </c>
      <c r="C42" s="20" t="s">
        <v>290</v>
      </c>
      <c r="D42" s="41">
        <f>P3_SBN_CPI!G5</f>
        <v>298.39000000000004</v>
      </c>
      <c r="E42" s="20" t="s">
        <v>239</v>
      </c>
    </row>
    <row r="43" spans="1:5" x14ac:dyDescent="0.2">
      <c r="A43" s="20">
        <v>3</v>
      </c>
      <c r="B43" s="20" t="s">
        <v>289</v>
      </c>
      <c r="C43" s="20" t="s">
        <v>291</v>
      </c>
      <c r="D43" s="41">
        <f>P3_SBN_CPI!G7</f>
        <v>189.54000000000005</v>
      </c>
      <c r="E43" s="20" t="s">
        <v>239</v>
      </c>
    </row>
    <row r="44" spans="1:5" x14ac:dyDescent="0.2">
      <c r="A44" s="20">
        <v>3</v>
      </c>
      <c r="B44" s="20" t="s">
        <v>289</v>
      </c>
      <c r="C44" s="20" t="s">
        <v>292</v>
      </c>
      <c r="D44" s="41">
        <f>P3_SBN_CPI!G8</f>
        <v>80.949999999999989</v>
      </c>
      <c r="E44" s="20" t="s">
        <v>293</v>
      </c>
    </row>
    <row r="45" spans="1:5" x14ac:dyDescent="0.2">
      <c r="A45" s="20">
        <v>3</v>
      </c>
      <c r="B45" s="20" t="s">
        <v>289</v>
      </c>
      <c r="C45" s="20" t="s">
        <v>294</v>
      </c>
      <c r="D45" s="41">
        <f>P3_SBN_CPI!G26</f>
        <v>3.28</v>
      </c>
      <c r="E45" s="20" t="s">
        <v>295</v>
      </c>
    </row>
    <row r="46" spans="1:5" x14ac:dyDescent="0.2">
      <c r="A46" s="20">
        <v>3</v>
      </c>
      <c r="B46" s="20" t="s">
        <v>289</v>
      </c>
      <c r="C46" s="20" t="s">
        <v>296</v>
      </c>
      <c r="D46" s="41">
        <f>P3_SBN_CPI!G27</f>
        <v>3.8860000000000006</v>
      </c>
      <c r="E46" s="20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Ex1_CME_Path</vt:lpstr>
      <vt:lpstr>Ex2_UST_ACM</vt:lpstr>
      <vt:lpstr>Ex3_SOX_Hyperscalers</vt:lpstr>
      <vt:lpstr>Ex4_Hyperscaler_Bonds</vt:lpstr>
      <vt:lpstr>Ex5_FXR_USDIDR</vt:lpstr>
      <vt:lpstr>Ex6_Trade_Balance</vt:lpstr>
      <vt:lpstr>P2_Text_Data</vt:lpstr>
      <vt:lpstr>P3_SBN_CPI</vt:lpstr>
      <vt:lpstr>Text_Numbers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2026-10-07T03:20:45Z</dcterms:created>
  <dcterms:modified xsi:type="dcterms:W3CDTF">2026-10-07T03:21:01Z</dcterms:modified>
</cp:coreProperties>
</file>